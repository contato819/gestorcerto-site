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Custo Mens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1A56A5"/>
      <sz val="16"/>
    </font>
    <font>
      <color rgb="006B7A88"/>
      <sz val="10"/>
    </font>
    <font>
      <color rgb="003A4D66"/>
      <sz val="10"/>
    </font>
    <font>
      <b val="1"/>
      <color rgb="000E2540"/>
      <sz val="11"/>
    </font>
    <font>
      <b val="1"/>
      <color rgb="00FFFFFF"/>
      <sz val="14"/>
    </font>
    <font>
      <b val="1"/>
    </font>
    <font>
      <sz val="10"/>
    </font>
    <font>
      <b val="1"/>
      <color rgb="00FFFFFF"/>
    </font>
    <font>
      <i val="1"/>
      <sz val="10"/>
    </font>
    <font>
      <b val="1"/>
      <color rgb="000C8A67"/>
    </font>
  </fonts>
  <fills count="6">
    <fill>
      <patternFill/>
    </fill>
    <fill>
      <patternFill patternType="gray125"/>
    </fill>
    <fill>
      <patternFill patternType="solid">
        <fgColor rgb="000E2540"/>
      </patternFill>
    </fill>
    <fill>
      <patternFill patternType="solid">
        <fgColor rgb="00FFF4D6"/>
      </patternFill>
    </fill>
    <fill>
      <patternFill patternType="solid">
        <fgColor rgb="001A56A5"/>
      </patternFill>
    </fill>
    <fill>
      <patternFill patternType="solid">
        <fgColor rgb="00EAF2FE"/>
      </patternFill>
    </fill>
  </fills>
  <borders count="2">
    <border>
      <left/>
      <right/>
      <top/>
      <bottom/>
      <diagonal/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7" fillId="0" borderId="1" pivotButton="0" quotePrefix="0" xfId="0"/>
    <xf numFmtId="164" fontId="0" fillId="0" borderId="1" pivotButton="0" quotePrefix="0" xfId="0"/>
    <xf numFmtId="164" fontId="6" fillId="5" borderId="1" pivotButton="0" quotePrefix="0" xfId="0"/>
    <xf numFmtId="0" fontId="9" fillId="0" borderId="0" pivotButton="0" quotePrefix="0" xfId="0"/>
    <xf numFmtId="9" fontId="0" fillId="0" borderId="1" pivotButton="0" quotePrefix="0" xfId="0"/>
    <xf numFmtId="164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5" customWidth="1" min="2" max="2"/>
  </cols>
  <sheetData>
    <row r="2">
      <c r="B2" s="1" t="inlineStr">
        <is>
          <t>PLANILHA DE CUSTO MENSAL DO EMPREGADO</t>
        </is>
      </c>
    </row>
    <row r="3">
      <c r="B3" s="2" t="inlineStr">
        <is>
          <t>Gestor Certo · Grupo Gestor — Escritório de Contabilidade</t>
        </is>
      </c>
    </row>
    <row r="5">
      <c r="B5" s="3" t="inlineStr"/>
    </row>
    <row r="6">
      <c r="B6" s="4" t="inlineStr">
        <is>
          <t>Como usar:</t>
        </is>
      </c>
    </row>
    <row r="7">
      <c r="B7" s="3" t="inlineStr">
        <is>
          <t>1) Vá na aba CUSTO MENSAL.</t>
        </is>
      </c>
    </row>
    <row r="8">
      <c r="B8" s="3" t="inlineStr">
        <is>
          <t>2) Preencha as células amarelas: salário, comissões, RAT, Terceiros, VT e VR.</t>
        </is>
      </c>
    </row>
    <row r="9">
      <c r="B9" s="3" t="inlineStr">
        <is>
          <t>3) Compare as colunas: empresa no SIMPLES (Anexos I, II, III e V) x LUCRO PRESUMIDO/REAL.</t>
        </is>
      </c>
    </row>
    <row r="10">
      <c r="B10" s="3" t="inlineStr"/>
    </row>
    <row r="11">
      <c r="B11" s="4" t="inlineStr">
        <is>
          <t>O que está incluído:</t>
        </is>
      </c>
    </row>
    <row r="12">
      <c r="B12" s="3" t="inlineStr">
        <is>
          <t>• Remuneração (salário + comissões).</t>
        </is>
      </c>
    </row>
    <row r="13">
      <c r="B13" s="3" t="inlineStr">
        <is>
          <t>• INSS patronal (20%), RAT e Terceiros (5,8%) — só fora do Simples (Anexos I/II/III/V).</t>
        </is>
      </c>
    </row>
    <row r="14">
      <c r="B14" s="3" t="inlineStr">
        <is>
          <t>• FGTS (8%) — sempre.</t>
        </is>
      </c>
    </row>
    <row r="15">
      <c r="B15" s="3" t="inlineStr">
        <is>
          <t>• Provisões de 13º e de férias + 1/3 (com seus encargos e FGTS).</t>
        </is>
      </c>
    </row>
    <row r="16">
      <c r="B16" s="3" t="inlineStr">
        <is>
          <t>• Provisão da multa de 40% do FGTS (rescisão).</t>
        </is>
      </c>
    </row>
    <row r="17">
      <c r="B17" s="3" t="inlineStr">
        <is>
          <t>• Custo de VT (descontado até 6% do salário) e VR (desconto conforme política).</t>
        </is>
      </c>
    </row>
    <row r="18">
      <c r="B18" s="3" t="inlineStr"/>
    </row>
    <row r="19">
      <c r="B19" s="3" t="inlineStr">
        <is>
          <t>Observações: RAT varia de 1% a 3% (× FAP) conforme o risco; Terceiros padrão 5,8%. No Anexo IV do Simples há INSS patronal.</t>
        </is>
      </c>
    </row>
    <row r="20">
      <c r="B20" s="3" t="inlineStr">
        <is>
          <t>Valores ilustrativos — a folha real depende da convenção coletiva e de adicionais. Fale com a Gestor Certo: (11) 91404-0532.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5" t="inlineStr">
        <is>
          <t>CUSTO MENSAL DO EMPREGADO — SIMPLES x PRESUMIDO/REAL</t>
        </is>
      </c>
    </row>
    <row r="3">
      <c r="A3" s="6" t="inlineStr">
        <is>
          <t>ENTRADAS (edite as células amarelas)</t>
        </is>
      </c>
    </row>
    <row r="4">
      <c r="A4" s="7" t="inlineStr">
        <is>
          <t>Salário base</t>
        </is>
      </c>
      <c r="B4" s="8" t="n">
        <v>3000</v>
      </c>
    </row>
    <row r="5">
      <c r="A5" s="7" t="inlineStr">
        <is>
          <t>Comissões / médias</t>
        </is>
      </c>
      <c r="B5" s="8" t="n">
        <v>0</v>
      </c>
    </row>
    <row r="6">
      <c r="A6" s="7" t="inlineStr">
        <is>
          <t>RAT (%) — fora do Simples</t>
        </is>
      </c>
      <c r="B6" s="9" t="n">
        <v>0.02</v>
      </c>
    </row>
    <row r="7">
      <c r="A7" s="7" t="inlineStr">
        <is>
          <t>Terceiros (%) — fora do Simples</t>
        </is>
      </c>
      <c r="B7" s="9" t="n">
        <v>0.058</v>
      </c>
    </row>
    <row r="8">
      <c r="A8" s="7" t="inlineStr">
        <is>
          <t>Vale-transporte (VT) mensal</t>
        </is>
      </c>
      <c r="B8" s="8" t="n">
        <v>300</v>
      </c>
    </row>
    <row r="9">
      <c r="A9" s="7" t="inlineStr">
        <is>
          <t>Vale-refeição (VR) mensal</t>
        </is>
      </c>
      <c r="B9" s="8" t="n">
        <v>600</v>
      </c>
    </row>
    <row r="10">
      <c r="A10" s="7" t="inlineStr">
        <is>
          <t>Desconto do VR (%)</t>
        </is>
      </c>
      <c r="B10" s="9" t="n">
        <v>0.2</v>
      </c>
    </row>
    <row r="12" ht="28" customHeight="1">
      <c r="A12" s="10" t="inlineStr">
        <is>
          <t>Componente</t>
        </is>
      </c>
      <c r="B12" s="10" t="inlineStr">
        <is>
          <t>Simples (I/II/III/V)</t>
        </is>
      </c>
      <c r="C12" s="10" t="inlineStr">
        <is>
          <t>Presumido / Real</t>
        </is>
      </c>
    </row>
    <row r="13">
      <c r="A13" s="11" t="inlineStr">
        <is>
          <t>Remuneração (salário + comissões)</t>
        </is>
      </c>
      <c r="B13" s="12">
        <f>($B$4+$B$5)</f>
        <v/>
      </c>
      <c r="C13" s="12">
        <f>($B$4+$B$5)</f>
        <v/>
      </c>
    </row>
    <row r="14">
      <c r="A14" s="11" t="inlineStr">
        <is>
          <t>INSS patronal (20%)</t>
        </is>
      </c>
      <c r="B14" s="12">
        <f>0</f>
        <v/>
      </c>
      <c r="C14" s="12">
        <f>0.20*($B$4+$B$5)</f>
        <v/>
      </c>
    </row>
    <row r="15">
      <c r="A15" s="11" t="inlineStr">
        <is>
          <t>RAT</t>
        </is>
      </c>
      <c r="B15" s="12">
        <f>0</f>
        <v/>
      </c>
      <c r="C15" s="12">
        <f>$B$6*($B$4+$B$5)</f>
        <v/>
      </c>
    </row>
    <row r="16">
      <c r="A16" s="11" t="inlineStr">
        <is>
          <t>Terceiros (Sistema S)</t>
        </is>
      </c>
      <c r="B16" s="12">
        <f>0</f>
        <v/>
      </c>
      <c r="C16" s="12">
        <f>$B$7*($B$4+$B$5)</f>
        <v/>
      </c>
    </row>
    <row r="17">
      <c r="A17" s="11" t="inlineStr">
        <is>
          <t>FGTS (8%)</t>
        </is>
      </c>
      <c r="B17" s="12">
        <f>0.08*($B$4+$B$5)</f>
        <v/>
      </c>
      <c r="C17" s="12">
        <f>0.08*($B$4+$B$5)</f>
        <v/>
      </c>
    </row>
    <row r="18">
      <c r="A18" s="11" t="inlineStr">
        <is>
          <t>Provisão 13º</t>
        </is>
      </c>
      <c r="B18" s="12">
        <f>($B$4+$B$5)/12</f>
        <v/>
      </c>
      <c r="C18" s="12">
        <f>($B$4+$B$5)/12</f>
        <v/>
      </c>
    </row>
    <row r="19">
      <c r="A19" s="11" t="inlineStr">
        <is>
          <t>Provisão férias + 1/3</t>
        </is>
      </c>
      <c r="B19" s="12">
        <f>($B$4+$B$5)*4/3/12</f>
        <v/>
      </c>
      <c r="C19" s="12">
        <f>($B$4+$B$5)*4/3/12</f>
        <v/>
      </c>
    </row>
    <row r="20">
      <c r="A20" s="11" t="inlineStr">
        <is>
          <t>Encargos s/ provisões (INSS+RAT+Terc)</t>
        </is>
      </c>
      <c r="B20" s="12">
        <f>0</f>
        <v/>
      </c>
      <c r="C20" s="12">
        <f>(0.20+$B$6+$B$7)*(($B$4+$B$5)/12+($B$4+$B$5)*4/3/12)</f>
        <v/>
      </c>
    </row>
    <row r="21">
      <c r="A21" s="11" t="inlineStr">
        <is>
          <t>FGTS s/ provisões (8%)</t>
        </is>
      </c>
      <c r="B21" s="12">
        <f>0.08*(($B$4+$B$5)/12+($B$4+$B$5)*4/3/12)</f>
        <v/>
      </c>
      <c r="C21" s="12">
        <f>0.08*(($B$4+$B$5)/12+($B$4+$B$5)*4/3/12)</f>
        <v/>
      </c>
    </row>
    <row r="22">
      <c r="A22" s="11" t="inlineStr">
        <is>
          <t>Provisão multa FGTS (40%)</t>
        </is>
      </c>
      <c r="B22" s="12">
        <f>0.40*0.08*(($B$4+$B$5)+(($B$4+$B$5)/12+($B$4+$B$5)*4/3/12))</f>
        <v/>
      </c>
      <c r="C22" s="12">
        <f>0.40*0.08*(($B$4+$B$5)+(($B$4+$B$5)/12+($B$4+$B$5)*4/3/12))</f>
        <v/>
      </c>
    </row>
    <row r="23">
      <c r="A23" s="11" t="inlineStr">
        <is>
          <t>Custo VT (líquido do desconto 6%)</t>
        </is>
      </c>
      <c r="B23" s="12">
        <f>$B$8-MIN($B$8,0.06*$B$4)</f>
        <v/>
      </c>
      <c r="C23" s="12">
        <f>$B$8-MIN($B$8,0.06*$B$4)</f>
        <v/>
      </c>
    </row>
    <row r="24">
      <c r="A24" s="11" t="inlineStr">
        <is>
          <t>Custo VR (líquido do desconto)</t>
        </is>
      </c>
      <c r="B24" s="12">
        <f>$B$9-$B$9*$B$10</f>
        <v/>
      </c>
      <c r="C24" s="12">
        <f>$B$9-$B$9*$B$10</f>
        <v/>
      </c>
    </row>
    <row r="25">
      <c r="A25" s="13" t="inlineStr">
        <is>
          <t>CUSTO TOTAL MENSAL</t>
        </is>
      </c>
      <c r="B25" s="13">
        <f>SUM(B13:B24)</f>
        <v/>
      </c>
      <c r="C25" s="13">
        <f>SUM(C13:C24)</f>
        <v/>
      </c>
    </row>
    <row r="26">
      <c r="A26" s="14" t="inlineStr">
        <is>
          <t>% sobre o salário</t>
        </is>
      </c>
      <c r="B26" s="15">
        <f>B25/$B$4</f>
        <v/>
      </c>
      <c r="C26" s="15">
        <f>C25/$B$4</f>
        <v/>
      </c>
    </row>
    <row r="27">
      <c r="A27" s="6" t="inlineStr">
        <is>
          <t>Economia no Simples (R$)</t>
        </is>
      </c>
      <c r="B27" s="16">
        <f>C25-B25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2026-06-29T15:49:19Z</dcterms:created>
  <dcterms:modified xmlns:dcterms="http://purl.org/dc/terms/" xmlns:xsi="http://www.w3.org/2001/XMLSchema-instance" xsi:type="dcterms:W3CDTF">2026-06-29T15:49:19Z</dcterms:modified>
</cp:coreProperties>
</file>