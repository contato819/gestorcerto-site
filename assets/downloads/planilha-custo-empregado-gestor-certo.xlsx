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Funcionários" sheetId="2" state="visible" r:id="rId2"/>
    <sheet xmlns:r="http://schemas.openxmlformats.org/officeDocument/2006/relationships" name="Resumo por Car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10">
    <font>
      <name val="Calibri"/>
      <family val="2"/>
      <color theme="1"/>
      <sz val="11"/>
      <scheme val="minor"/>
    </font>
    <font>
      <b val="1"/>
      <color rgb="001A56A5"/>
      <sz val="16"/>
    </font>
    <font>
      <color rgb="006B7A88"/>
      <sz val="10"/>
    </font>
    <font>
      <color rgb="003A4D66"/>
      <sz val="10"/>
    </font>
    <font>
      <b val="1"/>
      <color rgb="000E2540"/>
      <sz val="11"/>
    </font>
    <font>
      <b val="1"/>
      <color rgb="00FFFFFF"/>
      <sz val="14"/>
    </font>
    <font>
      <b val="1"/>
    </font>
    <font>
      <i val="1"/>
      <color rgb="006B7A88"/>
      <sz val="10"/>
    </font>
    <font>
      <b val="1"/>
      <color rgb="00FFFFFF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0E2540"/>
      </patternFill>
    </fill>
    <fill>
      <patternFill patternType="solid">
        <fgColor rgb="00FFF4D6"/>
      </patternFill>
    </fill>
    <fill>
      <patternFill patternType="solid">
        <fgColor rgb="001A56A5"/>
      </patternFill>
    </fill>
    <fill>
      <patternFill patternType="solid">
        <fgColor rgb="00EAF2FE"/>
      </patternFill>
    </fill>
    <fill>
      <patternFill patternType="solid">
        <fgColor rgb="00E6F5F0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164" fontId="0" fillId="3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6" fillId="5" borderId="1" pivotButton="0" quotePrefix="0" xfId="0"/>
    <xf numFmtId="1" fontId="6" fillId="6" borderId="1" pivotButton="0" quotePrefix="0" xfId="0"/>
    <xf numFmtId="0" fontId="9" fillId="0" borderId="0" pivotButton="0" quotePrefix="0" xfId="0"/>
    <xf numFmtId="165" fontId="6" fillId="6" borderId="1" pivotButton="0" quotePrefix="0" xfId="0"/>
    <xf numFmtId="1" fontId="0" fillId="0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8" customWidth="1" min="2" max="2"/>
  </cols>
  <sheetData>
    <row r="2">
      <c r="B2" s="1" t="inlineStr">
        <is>
          <t>PLANILHA DE CUSTO DE FUNCIONÁRIOS POR CARGO</t>
        </is>
      </c>
    </row>
    <row r="3">
      <c r="B3" s="2" t="inlineStr">
        <is>
          <t>Gestor Certo · Grupo Gestor — Escritório de Contabilidade</t>
        </is>
      </c>
    </row>
    <row r="5">
      <c r="B5" s="3" t="inlineStr"/>
    </row>
    <row r="6">
      <c r="B6" s="4" t="inlineStr">
        <is>
          <t>Como usar:</t>
        </is>
      </c>
    </row>
    <row r="7">
      <c r="B7" s="3" t="inlineStr">
        <is>
          <t>1) Na aba FUNCIONÁRIOS, defina RAT (%) e Terceiros (%) no topo (usados para quem não é Simples).</t>
        </is>
      </c>
    </row>
    <row r="8">
      <c r="B8" s="3" t="inlineStr">
        <is>
          <t>2) Cadastre um funcionário por linha: Cargo, Nome, Regime (escreva 'Simples' ou 'Presumido'), Salário, Comissões, VT, VR e o desconto do VR.</t>
        </is>
      </c>
    </row>
    <row r="9">
      <c r="B9" s="3" t="inlineStr">
        <is>
          <t>3) A coluna 'Custo total mensal' calcula sozinha cada linha.</t>
        </is>
      </c>
    </row>
    <row r="10">
      <c r="B10" s="3" t="inlineStr">
        <is>
          <t>4) Na aba RESUMO POR CARGO, escreva os cargos que você usou — ela soma a quantidade e o custo total de cada cargo automaticamente.</t>
        </is>
      </c>
    </row>
    <row r="11">
      <c r="B11" s="3" t="inlineStr"/>
    </row>
    <row r="12">
      <c r="B12" s="4" t="inlineStr">
        <is>
          <t>O que entra no custo:</t>
        </is>
      </c>
    </row>
    <row r="13">
      <c r="B13" s="3" t="inlineStr">
        <is>
          <t>• Remuneração (salário + comissões).</t>
        </is>
      </c>
    </row>
    <row r="14">
      <c r="B14" s="3" t="inlineStr">
        <is>
          <t>• INSS patronal 20% + RAT + Terceiros — só quando o Regime não é 'Simples'.</t>
        </is>
      </c>
    </row>
    <row r="15">
      <c r="B15" s="3" t="inlineStr">
        <is>
          <t>• FGTS 8% (sempre), provisões de 13º e férias + 1/3 (com encargos) e provisão da multa de 40% do FGTS.</t>
        </is>
      </c>
    </row>
    <row r="16">
      <c r="B16" s="3" t="inlineStr">
        <is>
          <t>• VT (descontado até 6% do salário) e VR (descontado conforme a coluna).</t>
        </is>
      </c>
    </row>
    <row r="17">
      <c r="B17" s="3" t="inlineStr"/>
    </row>
    <row r="18">
      <c r="B18" s="3" t="inlineStr">
        <is>
          <t>Dica: escreva o Cargo igual nas duas abas (ex.: 'Vendedor') para o resumo somar certo.</t>
        </is>
      </c>
    </row>
    <row r="19">
      <c r="B19" s="3" t="inlineStr">
        <is>
          <t>Valores ilustrativos — a folha real depende da convenção coletiva e de adicionais. Gestor Certo: (11) 91404-0532.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3" customWidth="1" min="4" max="4"/>
    <col width="12" customWidth="1" min="5" max="5"/>
    <col width="11" customWidth="1" min="6" max="6"/>
    <col width="11" customWidth="1" min="7" max="7"/>
    <col width="12" customWidth="1" min="8" max="8"/>
    <col width="18" customWidth="1" min="9" max="9"/>
  </cols>
  <sheetData>
    <row r="1" ht="24" customHeight="1">
      <c r="A1" s="5" t="inlineStr">
        <is>
          <t>CUSTO DE FUNCIONÁRIOS — UM POR LINHA</t>
        </is>
      </c>
    </row>
    <row r="2">
      <c r="A2" s="6" t="inlineStr">
        <is>
          <t>RAT (%):</t>
        </is>
      </c>
      <c r="B2" s="7" t="n">
        <v>0.02</v>
      </c>
      <c r="C2" s="6" t="inlineStr">
        <is>
          <t>Terceiros (%):</t>
        </is>
      </c>
      <c r="D2" s="7" t="n">
        <v>0.058</v>
      </c>
      <c r="F2" s="8" t="inlineStr">
        <is>
          <t>No Regime, escreva 'Simples' ou 'Presumido'</t>
        </is>
      </c>
    </row>
    <row r="4" ht="28" customHeight="1">
      <c r="A4" s="9" t="inlineStr">
        <is>
          <t>Cargo</t>
        </is>
      </c>
      <c r="B4" s="9" t="inlineStr">
        <is>
          <t>Nome</t>
        </is>
      </c>
      <c r="C4" s="9" t="inlineStr">
        <is>
          <t>Regime</t>
        </is>
      </c>
      <c r="D4" s="9" t="inlineStr">
        <is>
          <t>Salário</t>
        </is>
      </c>
      <c r="E4" s="9" t="inlineStr">
        <is>
          <t>Comissões</t>
        </is>
      </c>
      <c r="F4" s="9" t="inlineStr">
        <is>
          <t>VT (mês)</t>
        </is>
      </c>
      <c r="G4" s="9" t="inlineStr">
        <is>
          <t>VR (mês)</t>
        </is>
      </c>
      <c r="H4" s="9" t="inlineStr">
        <is>
          <t>Desc. VR (%)</t>
        </is>
      </c>
      <c r="I4" s="9" t="inlineStr">
        <is>
          <t>Custo total mensal</t>
        </is>
      </c>
    </row>
    <row r="5">
      <c r="A5" s="10" t="inlineStr">
        <is>
          <t>Vendedor</t>
        </is>
      </c>
      <c r="B5" s="10" t="inlineStr">
        <is>
          <t>Ana</t>
        </is>
      </c>
      <c r="C5" s="10" t="inlineStr">
        <is>
          <t>Simples</t>
        </is>
      </c>
      <c r="D5" s="11" t="n">
        <v>2000</v>
      </c>
      <c r="E5" s="11" t="n">
        <v>800</v>
      </c>
      <c r="F5" s="11" t="n">
        <v>250</v>
      </c>
      <c r="G5" s="11" t="n">
        <v>500</v>
      </c>
      <c r="H5" s="12" t="n">
        <v>0.2</v>
      </c>
      <c r="I5" s="13">
        <f>IF(D5="","",(D5+E5)+(D5+E5)*IF(UPPER(C5)="SIMPLES",0,0.2+$B$2+$D$2)+(D5+E5)*0.08+((D5+E5)/12+(D5+E5)*4/3/12)+((D5+E5)/12+(D5+E5)*4/3/12)*IF(UPPER(C5)="SIMPLES",0,0.2+$B$2+$D$2)+((D5+E5)/12+(D5+E5)*4/3/12)*0.08+0.4*0.08*((D5+E5)+((D5+E5)/12+(D5+E5)*4/3/12))+(F5-MIN(F5,0.06*D5))+(G5-G5*H5))</f>
        <v/>
      </c>
    </row>
    <row r="6">
      <c r="A6" s="10" t="inlineStr">
        <is>
          <t>Vendedor</t>
        </is>
      </c>
      <c r="B6" s="10" t="inlineStr">
        <is>
          <t>Bruno</t>
        </is>
      </c>
      <c r="C6" s="10" t="inlineStr">
        <is>
          <t>Simples</t>
        </is>
      </c>
      <c r="D6" s="11" t="n">
        <v>2000</v>
      </c>
      <c r="E6" s="11" t="n">
        <v>500</v>
      </c>
      <c r="F6" s="11" t="n">
        <v>250</v>
      </c>
      <c r="G6" s="11" t="n">
        <v>500</v>
      </c>
      <c r="H6" s="12" t="n">
        <v>0.2</v>
      </c>
      <c r="I6" s="13">
        <f>IF(D6="","",(D6+E6)+(D6+E6)*IF(UPPER(C6)="SIMPLES",0,0.2+$B$2+$D$2)+(D6+E6)*0.08+((D6+E6)/12+(D6+E6)*4/3/12)+((D6+E6)/12+(D6+E6)*4/3/12)*IF(UPPER(C6)="SIMPLES",0,0.2+$B$2+$D$2)+((D6+E6)/12+(D6+E6)*4/3/12)*0.08+0.4*0.08*((D6+E6)+((D6+E6)/12+(D6+E6)*4/3/12))+(F6-MIN(F6,0.06*D6))+(G6-G6*H6))</f>
        <v/>
      </c>
    </row>
    <row r="7">
      <c r="A7" s="10" t="inlineStr">
        <is>
          <t>Gerente</t>
        </is>
      </c>
      <c r="B7" s="10" t="inlineStr">
        <is>
          <t>Carla</t>
        </is>
      </c>
      <c r="C7" s="10" t="inlineStr">
        <is>
          <t>Presumido</t>
        </is>
      </c>
      <c r="D7" s="11" t="n">
        <v>6000</v>
      </c>
      <c r="E7" s="11" t="n">
        <v>0</v>
      </c>
      <c r="F7" s="11" t="n">
        <v>0</v>
      </c>
      <c r="G7" s="11" t="n">
        <v>800</v>
      </c>
      <c r="H7" s="12" t="n">
        <v>0.2</v>
      </c>
      <c r="I7" s="13">
        <f>IF(D7="","",(D7+E7)+(D7+E7)*IF(UPPER(C7)="SIMPLES",0,0.2+$B$2+$D$2)+(D7+E7)*0.08+((D7+E7)/12+(D7+E7)*4/3/12)+((D7+E7)/12+(D7+E7)*4/3/12)*IF(UPPER(C7)="SIMPLES",0,0.2+$B$2+$D$2)+((D7+E7)/12+(D7+E7)*4/3/12)*0.08+0.4*0.08*((D7+E7)+((D7+E7)/12+(D7+E7)*4/3/12))+(F7-MIN(F7,0.06*D7))+(G7-G7*H7))</f>
        <v/>
      </c>
    </row>
    <row r="8">
      <c r="A8" s="10" t="n"/>
      <c r="B8" s="10" t="n"/>
      <c r="C8" s="10" t="n"/>
      <c r="D8" s="11" t="n"/>
      <c r="E8" s="11" t="n"/>
      <c r="F8" s="11" t="n"/>
      <c r="G8" s="11" t="n"/>
      <c r="H8" s="12" t="n"/>
      <c r="I8" s="13">
        <f>IF(D8="","",(D8+E8)+(D8+E8)*IF(UPPER(C8)="SIMPLES",0,0.2+$B$2+$D$2)+(D8+E8)*0.08+((D8+E8)/12+(D8+E8)*4/3/12)+((D8+E8)/12+(D8+E8)*4/3/12)*IF(UPPER(C8)="SIMPLES",0,0.2+$B$2+$D$2)+((D8+E8)/12+(D8+E8)*4/3/12)*0.08+0.4*0.08*((D8+E8)+((D8+E8)/12+(D8+E8)*4/3/12))+(F8-MIN(F8,0.06*D8))+(G8-G8*H8))</f>
        <v/>
      </c>
    </row>
    <row r="9">
      <c r="A9" s="10" t="n"/>
      <c r="B9" s="10" t="n"/>
      <c r="C9" s="10" t="n"/>
      <c r="D9" s="11" t="n"/>
      <c r="E9" s="11" t="n"/>
      <c r="F9" s="11" t="n"/>
      <c r="G9" s="11" t="n"/>
      <c r="H9" s="12" t="n"/>
      <c r="I9" s="13">
        <f>IF(D9="","",(D9+E9)+(D9+E9)*IF(UPPER(C9)="SIMPLES",0,0.2+$B$2+$D$2)+(D9+E9)*0.08+((D9+E9)/12+(D9+E9)*4/3/12)+((D9+E9)/12+(D9+E9)*4/3/12)*IF(UPPER(C9)="SIMPLES",0,0.2+$B$2+$D$2)+((D9+E9)/12+(D9+E9)*4/3/12)*0.08+0.4*0.08*((D9+E9)+((D9+E9)/12+(D9+E9)*4/3/12))+(F9-MIN(F9,0.06*D9))+(G9-G9*H9))</f>
        <v/>
      </c>
    </row>
    <row r="10">
      <c r="A10" s="10" t="n"/>
      <c r="B10" s="10" t="n"/>
      <c r="C10" s="10" t="n"/>
      <c r="D10" s="11" t="n"/>
      <c r="E10" s="11" t="n"/>
      <c r="F10" s="11" t="n"/>
      <c r="G10" s="11" t="n"/>
      <c r="H10" s="12" t="n"/>
      <c r="I10" s="13">
        <f>IF(D10="","",(D10+E10)+(D10+E10)*IF(UPPER(C10)="SIMPLES",0,0.2+$B$2+$D$2)+(D10+E10)*0.08+((D10+E10)/12+(D10+E10)*4/3/12)+((D10+E10)/12+(D10+E10)*4/3/12)*IF(UPPER(C10)="SIMPLES",0,0.2+$B$2+$D$2)+((D10+E10)/12+(D10+E10)*4/3/12)*0.08+0.4*0.08*((D10+E10)+((D10+E10)/12+(D10+E10)*4/3/12))+(F10-MIN(F10,0.06*D10))+(G10-G10*H10))</f>
        <v/>
      </c>
    </row>
    <row r="11">
      <c r="A11" s="10" t="n"/>
      <c r="B11" s="10" t="n"/>
      <c r="C11" s="10" t="n"/>
      <c r="D11" s="11" t="n"/>
      <c r="E11" s="11" t="n"/>
      <c r="F11" s="11" t="n"/>
      <c r="G11" s="11" t="n"/>
      <c r="H11" s="12" t="n"/>
      <c r="I11" s="13">
        <f>IF(D11="","",(D11+E11)+(D11+E11)*IF(UPPER(C11)="SIMPLES",0,0.2+$B$2+$D$2)+(D11+E11)*0.08+((D11+E11)/12+(D11+E11)*4/3/12)+((D11+E11)/12+(D11+E11)*4/3/12)*IF(UPPER(C11)="SIMPLES",0,0.2+$B$2+$D$2)+((D11+E11)/12+(D11+E11)*4/3/12)*0.08+0.4*0.08*((D11+E11)+((D11+E11)/12+(D11+E11)*4/3/12))+(F11-MIN(F11,0.06*D11))+(G11-G11*H11))</f>
        <v/>
      </c>
    </row>
    <row r="12">
      <c r="A12" s="10" t="n"/>
      <c r="B12" s="10" t="n"/>
      <c r="C12" s="10" t="n"/>
      <c r="D12" s="11" t="n"/>
      <c r="E12" s="11" t="n"/>
      <c r="F12" s="11" t="n"/>
      <c r="G12" s="11" t="n"/>
      <c r="H12" s="12" t="n"/>
      <c r="I12" s="13">
        <f>IF(D12="","",(D12+E12)+(D12+E12)*IF(UPPER(C12)="SIMPLES",0,0.2+$B$2+$D$2)+(D12+E12)*0.08+((D12+E12)/12+(D12+E12)*4/3/12)+((D12+E12)/12+(D12+E12)*4/3/12)*IF(UPPER(C12)="SIMPLES",0,0.2+$B$2+$D$2)+((D12+E12)/12+(D12+E12)*4/3/12)*0.08+0.4*0.08*((D12+E12)+((D12+E12)/12+(D12+E12)*4/3/12))+(F12-MIN(F12,0.06*D12))+(G12-G12*H12))</f>
        <v/>
      </c>
    </row>
    <row r="13">
      <c r="A13" s="10" t="n"/>
      <c r="B13" s="10" t="n"/>
      <c r="C13" s="10" t="n"/>
      <c r="D13" s="11" t="n"/>
      <c r="E13" s="11" t="n"/>
      <c r="F13" s="11" t="n"/>
      <c r="G13" s="11" t="n"/>
      <c r="H13" s="12" t="n"/>
      <c r="I13" s="13">
        <f>IF(D13="","",(D13+E13)+(D13+E13)*IF(UPPER(C13)="SIMPLES",0,0.2+$B$2+$D$2)+(D13+E13)*0.08+((D13+E13)/12+(D13+E13)*4/3/12)+((D13+E13)/12+(D13+E13)*4/3/12)*IF(UPPER(C13)="SIMPLES",0,0.2+$B$2+$D$2)+((D13+E13)/12+(D13+E13)*4/3/12)*0.08+0.4*0.08*((D13+E13)+((D13+E13)/12+(D13+E13)*4/3/12))+(F13-MIN(F13,0.06*D13))+(G13-G13*H13))</f>
        <v/>
      </c>
    </row>
    <row r="14">
      <c r="A14" s="10" t="n"/>
      <c r="B14" s="10" t="n"/>
      <c r="C14" s="10" t="n"/>
      <c r="D14" s="11" t="n"/>
      <c r="E14" s="11" t="n"/>
      <c r="F14" s="11" t="n"/>
      <c r="G14" s="11" t="n"/>
      <c r="H14" s="12" t="n"/>
      <c r="I14" s="13">
        <f>IF(D14="","",(D14+E14)+(D14+E14)*IF(UPPER(C14)="SIMPLES",0,0.2+$B$2+$D$2)+(D14+E14)*0.08+((D14+E14)/12+(D14+E14)*4/3/12)+((D14+E14)/12+(D14+E14)*4/3/12)*IF(UPPER(C14)="SIMPLES",0,0.2+$B$2+$D$2)+((D14+E14)/12+(D14+E14)*4/3/12)*0.08+0.4*0.08*((D14+E14)+((D14+E14)/12+(D14+E14)*4/3/12))+(F14-MIN(F14,0.06*D14))+(G14-G14*H14))</f>
        <v/>
      </c>
    </row>
    <row r="15">
      <c r="A15" s="10" t="n"/>
      <c r="B15" s="10" t="n"/>
      <c r="C15" s="10" t="n"/>
      <c r="D15" s="11" t="n"/>
      <c r="E15" s="11" t="n"/>
      <c r="F15" s="11" t="n"/>
      <c r="G15" s="11" t="n"/>
      <c r="H15" s="12" t="n"/>
      <c r="I15" s="13">
        <f>IF(D15="","",(D15+E15)+(D15+E15)*IF(UPPER(C15)="SIMPLES",0,0.2+$B$2+$D$2)+(D15+E15)*0.08+((D15+E15)/12+(D15+E15)*4/3/12)+((D15+E15)/12+(D15+E15)*4/3/12)*IF(UPPER(C15)="SIMPLES",0,0.2+$B$2+$D$2)+((D15+E15)/12+(D15+E15)*4/3/12)*0.08+0.4*0.08*((D15+E15)+((D15+E15)/12+(D15+E15)*4/3/12))+(F15-MIN(F15,0.06*D15))+(G15-G15*H15))</f>
        <v/>
      </c>
    </row>
    <row r="16">
      <c r="A16" s="10" t="n"/>
      <c r="B16" s="10" t="n"/>
      <c r="C16" s="10" t="n"/>
      <c r="D16" s="11" t="n"/>
      <c r="E16" s="11" t="n"/>
      <c r="F16" s="11" t="n"/>
      <c r="G16" s="11" t="n"/>
      <c r="H16" s="12" t="n"/>
      <c r="I16" s="13">
        <f>IF(D16="","",(D16+E16)+(D16+E16)*IF(UPPER(C16)="SIMPLES",0,0.2+$B$2+$D$2)+(D16+E16)*0.08+((D16+E16)/12+(D16+E16)*4/3/12)+((D16+E16)/12+(D16+E16)*4/3/12)*IF(UPPER(C16)="SIMPLES",0,0.2+$B$2+$D$2)+((D16+E16)/12+(D16+E16)*4/3/12)*0.08+0.4*0.08*((D16+E16)+((D16+E16)/12+(D16+E16)*4/3/12))+(F16-MIN(F16,0.06*D16))+(G16-G16*H16))</f>
        <v/>
      </c>
    </row>
    <row r="17">
      <c r="A17" s="10" t="n"/>
      <c r="B17" s="10" t="n"/>
      <c r="C17" s="10" t="n"/>
      <c r="D17" s="11" t="n"/>
      <c r="E17" s="11" t="n"/>
      <c r="F17" s="11" t="n"/>
      <c r="G17" s="11" t="n"/>
      <c r="H17" s="12" t="n"/>
      <c r="I17" s="13">
        <f>IF(D17="","",(D17+E17)+(D17+E17)*IF(UPPER(C17)="SIMPLES",0,0.2+$B$2+$D$2)+(D17+E17)*0.08+((D17+E17)/12+(D17+E17)*4/3/12)+((D17+E17)/12+(D17+E17)*4/3/12)*IF(UPPER(C17)="SIMPLES",0,0.2+$B$2+$D$2)+((D17+E17)/12+(D17+E17)*4/3/12)*0.08+0.4*0.08*((D17+E17)+((D17+E17)/12+(D17+E17)*4/3/12))+(F17-MIN(F17,0.06*D17))+(G17-G17*H17))</f>
        <v/>
      </c>
    </row>
    <row r="18">
      <c r="A18" s="10" t="n"/>
      <c r="B18" s="10" t="n"/>
      <c r="C18" s="10" t="n"/>
      <c r="D18" s="11" t="n"/>
      <c r="E18" s="11" t="n"/>
      <c r="F18" s="11" t="n"/>
      <c r="G18" s="11" t="n"/>
      <c r="H18" s="12" t="n"/>
      <c r="I18" s="13">
        <f>IF(D18="","",(D18+E18)+(D18+E18)*IF(UPPER(C18)="SIMPLES",0,0.2+$B$2+$D$2)+(D18+E18)*0.08+((D18+E18)/12+(D18+E18)*4/3/12)+((D18+E18)/12+(D18+E18)*4/3/12)*IF(UPPER(C18)="SIMPLES",0,0.2+$B$2+$D$2)+((D18+E18)/12+(D18+E18)*4/3/12)*0.08+0.4*0.08*((D18+E18)+((D18+E18)/12+(D18+E18)*4/3/12))+(F18-MIN(F18,0.06*D18))+(G18-G18*H18))</f>
        <v/>
      </c>
    </row>
    <row r="19">
      <c r="A19" s="10" t="n"/>
      <c r="B19" s="10" t="n"/>
      <c r="C19" s="10" t="n"/>
      <c r="D19" s="11" t="n"/>
      <c r="E19" s="11" t="n"/>
      <c r="F19" s="11" t="n"/>
      <c r="G19" s="11" t="n"/>
      <c r="H19" s="12" t="n"/>
      <c r="I19" s="13">
        <f>IF(D19="","",(D19+E19)+(D19+E19)*IF(UPPER(C19)="SIMPLES",0,0.2+$B$2+$D$2)+(D19+E19)*0.08+((D19+E19)/12+(D19+E19)*4/3/12)+((D19+E19)/12+(D19+E19)*4/3/12)*IF(UPPER(C19)="SIMPLES",0,0.2+$B$2+$D$2)+((D19+E19)/12+(D19+E19)*4/3/12)*0.08+0.4*0.08*((D19+E19)+((D19+E19)/12+(D19+E19)*4/3/12))+(F19-MIN(F19,0.06*D19))+(G19-G19*H19))</f>
        <v/>
      </c>
    </row>
    <row r="20">
      <c r="A20" s="10" t="n"/>
      <c r="B20" s="10" t="n"/>
      <c r="C20" s="10" t="n"/>
      <c r="D20" s="11" t="n"/>
      <c r="E20" s="11" t="n"/>
      <c r="F20" s="11" t="n"/>
      <c r="G20" s="11" t="n"/>
      <c r="H20" s="12" t="n"/>
      <c r="I20" s="13">
        <f>IF(D20="","",(D20+E20)+(D20+E20)*IF(UPPER(C20)="SIMPLES",0,0.2+$B$2+$D$2)+(D20+E20)*0.08+((D20+E20)/12+(D20+E20)*4/3/12)+((D20+E20)/12+(D20+E20)*4/3/12)*IF(UPPER(C20)="SIMPLES",0,0.2+$B$2+$D$2)+((D20+E20)/12+(D20+E20)*4/3/12)*0.08+0.4*0.08*((D20+E20)+((D20+E20)/12+(D20+E20)*4/3/12))+(F20-MIN(F20,0.06*D20))+(G20-G20*H20))</f>
        <v/>
      </c>
    </row>
    <row r="21">
      <c r="A21" s="10" t="n"/>
      <c r="B21" s="10" t="n"/>
      <c r="C21" s="10" t="n"/>
      <c r="D21" s="11" t="n"/>
      <c r="E21" s="11" t="n"/>
      <c r="F21" s="11" t="n"/>
      <c r="G21" s="11" t="n"/>
      <c r="H21" s="12" t="n"/>
      <c r="I21" s="13">
        <f>IF(D21="","",(D21+E21)+(D21+E21)*IF(UPPER(C21)="SIMPLES",0,0.2+$B$2+$D$2)+(D21+E21)*0.08+((D21+E21)/12+(D21+E21)*4/3/12)+((D21+E21)/12+(D21+E21)*4/3/12)*IF(UPPER(C21)="SIMPLES",0,0.2+$B$2+$D$2)+((D21+E21)/12+(D21+E21)*4/3/12)*0.08+0.4*0.08*((D21+E21)+((D21+E21)/12+(D21+E21)*4/3/12))+(F21-MIN(F21,0.06*D21))+(G21-G21*H21))</f>
        <v/>
      </c>
    </row>
    <row r="22">
      <c r="A22" s="10" t="n"/>
      <c r="B22" s="10" t="n"/>
      <c r="C22" s="10" t="n"/>
      <c r="D22" s="11" t="n"/>
      <c r="E22" s="11" t="n"/>
      <c r="F22" s="11" t="n"/>
      <c r="G22" s="11" t="n"/>
      <c r="H22" s="12" t="n"/>
      <c r="I22" s="13">
        <f>IF(D22="","",(D22+E22)+(D22+E22)*IF(UPPER(C22)="SIMPLES",0,0.2+$B$2+$D$2)+(D22+E22)*0.08+((D22+E22)/12+(D22+E22)*4/3/12)+((D22+E22)/12+(D22+E22)*4/3/12)*IF(UPPER(C22)="SIMPLES",0,0.2+$B$2+$D$2)+((D22+E22)/12+(D22+E22)*4/3/12)*0.08+0.4*0.08*((D22+E22)+((D22+E22)/12+(D22+E22)*4/3/12))+(F22-MIN(F22,0.06*D22))+(G22-G22*H22))</f>
        <v/>
      </c>
    </row>
    <row r="23">
      <c r="A23" s="10" t="n"/>
      <c r="B23" s="10" t="n"/>
      <c r="C23" s="10" t="n"/>
      <c r="D23" s="11" t="n"/>
      <c r="E23" s="11" t="n"/>
      <c r="F23" s="11" t="n"/>
      <c r="G23" s="11" t="n"/>
      <c r="H23" s="12" t="n"/>
      <c r="I23" s="13">
        <f>IF(D23="","",(D23+E23)+(D23+E23)*IF(UPPER(C23)="SIMPLES",0,0.2+$B$2+$D$2)+(D23+E23)*0.08+((D23+E23)/12+(D23+E23)*4/3/12)+((D23+E23)/12+(D23+E23)*4/3/12)*IF(UPPER(C23)="SIMPLES",0,0.2+$B$2+$D$2)+((D23+E23)/12+(D23+E23)*4/3/12)*0.08+0.4*0.08*((D23+E23)+((D23+E23)/12+(D23+E23)*4/3/12))+(F23-MIN(F23,0.06*D23))+(G23-G23*H23))</f>
        <v/>
      </c>
    </row>
    <row r="24">
      <c r="A24" s="10" t="n"/>
      <c r="B24" s="10" t="n"/>
      <c r="C24" s="10" t="n"/>
      <c r="D24" s="11" t="n"/>
      <c r="E24" s="11" t="n"/>
      <c r="F24" s="11" t="n"/>
      <c r="G24" s="11" t="n"/>
      <c r="H24" s="12" t="n"/>
      <c r="I24" s="13">
        <f>IF(D24="","",(D24+E24)+(D24+E24)*IF(UPPER(C24)="SIMPLES",0,0.2+$B$2+$D$2)+(D24+E24)*0.08+((D24+E24)/12+(D24+E24)*4/3/12)+((D24+E24)/12+(D24+E24)*4/3/12)*IF(UPPER(C24)="SIMPLES",0,0.2+$B$2+$D$2)+((D24+E24)/12+(D24+E24)*4/3/12)*0.08+0.4*0.08*((D24+E24)+((D24+E24)/12+(D24+E24)*4/3/12))+(F24-MIN(F24,0.06*D24))+(G24-G24*H24))</f>
        <v/>
      </c>
    </row>
    <row r="25">
      <c r="A25" s="10" t="n"/>
      <c r="B25" s="10" t="n"/>
      <c r="C25" s="10" t="n"/>
      <c r="D25" s="11" t="n"/>
      <c r="E25" s="11" t="n"/>
      <c r="F25" s="11" t="n"/>
      <c r="G25" s="11" t="n"/>
      <c r="H25" s="12" t="n"/>
      <c r="I25" s="13">
        <f>IF(D25="","",(D25+E25)+(D25+E25)*IF(UPPER(C25)="SIMPLES",0,0.2+$B$2+$D$2)+(D25+E25)*0.08+((D25+E25)/12+(D25+E25)*4/3/12)+((D25+E25)/12+(D25+E25)*4/3/12)*IF(UPPER(C25)="SIMPLES",0,0.2+$B$2+$D$2)+((D25+E25)/12+(D25+E25)*4/3/12)*0.08+0.4*0.08*((D25+E25)+((D25+E25)/12+(D25+E25)*4/3/12))+(F25-MIN(F25,0.06*D25))+(G25-G25*H25))</f>
        <v/>
      </c>
    </row>
    <row r="26">
      <c r="A26" s="10" t="n"/>
      <c r="B26" s="10" t="n"/>
      <c r="C26" s="10" t="n"/>
      <c r="D26" s="11" t="n"/>
      <c r="E26" s="11" t="n"/>
      <c r="F26" s="11" t="n"/>
      <c r="G26" s="11" t="n"/>
      <c r="H26" s="12" t="n"/>
      <c r="I26" s="13">
        <f>IF(D26="","",(D26+E26)+(D26+E26)*IF(UPPER(C26)="SIMPLES",0,0.2+$B$2+$D$2)+(D26+E26)*0.08+((D26+E26)/12+(D26+E26)*4/3/12)+((D26+E26)/12+(D26+E26)*4/3/12)*IF(UPPER(C26)="SIMPLES",0,0.2+$B$2+$D$2)+((D26+E26)/12+(D26+E26)*4/3/12)*0.08+0.4*0.08*((D26+E26)+((D26+E26)/12+(D26+E26)*4/3/12))+(F26-MIN(F26,0.06*D26))+(G26-G26*H26))</f>
        <v/>
      </c>
    </row>
    <row r="27">
      <c r="A27" s="10" t="n"/>
      <c r="B27" s="10" t="n"/>
      <c r="C27" s="10" t="n"/>
      <c r="D27" s="11" t="n"/>
      <c r="E27" s="11" t="n"/>
      <c r="F27" s="11" t="n"/>
      <c r="G27" s="11" t="n"/>
      <c r="H27" s="12" t="n"/>
      <c r="I27" s="13">
        <f>IF(D27="","",(D27+E27)+(D27+E27)*IF(UPPER(C27)="SIMPLES",0,0.2+$B$2+$D$2)+(D27+E27)*0.08+((D27+E27)/12+(D27+E27)*4/3/12)+((D27+E27)/12+(D27+E27)*4/3/12)*IF(UPPER(C27)="SIMPLES",0,0.2+$B$2+$D$2)+((D27+E27)/12+(D27+E27)*4/3/12)*0.08+0.4*0.08*((D27+E27)+((D27+E27)/12+(D27+E27)*4/3/12))+(F27-MIN(F27,0.06*D27))+(G27-G27*H27))</f>
        <v/>
      </c>
    </row>
    <row r="28">
      <c r="A28" s="10" t="n"/>
      <c r="B28" s="10" t="n"/>
      <c r="C28" s="10" t="n"/>
      <c r="D28" s="11" t="n"/>
      <c r="E28" s="11" t="n"/>
      <c r="F28" s="11" t="n"/>
      <c r="G28" s="11" t="n"/>
      <c r="H28" s="12" t="n"/>
      <c r="I28" s="13">
        <f>IF(D28="","",(D28+E28)+(D28+E28)*IF(UPPER(C28)="SIMPLES",0,0.2+$B$2+$D$2)+(D28+E28)*0.08+((D28+E28)/12+(D28+E28)*4/3/12)+((D28+E28)/12+(D28+E28)*4/3/12)*IF(UPPER(C28)="SIMPLES",0,0.2+$B$2+$D$2)+((D28+E28)/12+(D28+E28)*4/3/12)*0.08+0.4*0.08*((D28+E28)+((D28+E28)/12+(D28+E28)*4/3/12))+(F28-MIN(F28,0.06*D28))+(G28-G28*H28))</f>
        <v/>
      </c>
    </row>
    <row r="29">
      <c r="A29" s="10" t="n"/>
      <c r="B29" s="10" t="n"/>
      <c r="C29" s="10" t="n"/>
      <c r="D29" s="11" t="n"/>
      <c r="E29" s="11" t="n"/>
      <c r="F29" s="11" t="n"/>
      <c r="G29" s="11" t="n"/>
      <c r="H29" s="12" t="n"/>
      <c r="I29" s="13">
        <f>IF(D29="","",(D29+E29)+(D29+E29)*IF(UPPER(C29)="SIMPLES",0,0.2+$B$2+$D$2)+(D29+E29)*0.08+((D29+E29)/12+(D29+E29)*4/3/12)+((D29+E29)/12+(D29+E29)*4/3/12)*IF(UPPER(C29)="SIMPLES",0,0.2+$B$2+$D$2)+((D29+E29)/12+(D29+E29)*4/3/12)*0.08+0.4*0.08*((D29+E29)+((D29+E29)/12+(D29+E29)*4/3/12))+(F29-MIN(F29,0.06*D29))+(G29-G29*H29))</f>
        <v/>
      </c>
    </row>
    <row r="30">
      <c r="A30" s="10" t="n"/>
      <c r="B30" s="10" t="n"/>
      <c r="C30" s="10" t="n"/>
      <c r="D30" s="11" t="n"/>
      <c r="E30" s="11" t="n"/>
      <c r="F30" s="11" t="n"/>
      <c r="G30" s="11" t="n"/>
      <c r="H30" s="12" t="n"/>
      <c r="I30" s="13">
        <f>IF(D30="","",(D30+E30)+(D30+E30)*IF(UPPER(C30)="SIMPLES",0,0.2+$B$2+$D$2)+(D30+E30)*0.08+((D30+E30)/12+(D30+E30)*4/3/12)+((D30+E30)/12+(D30+E30)*4/3/12)*IF(UPPER(C30)="SIMPLES",0,0.2+$B$2+$D$2)+((D30+E30)/12+(D30+E30)*4/3/12)*0.08+0.4*0.08*((D30+E30)+((D30+E30)/12+(D30+E30)*4/3/12))+(F30-MIN(F30,0.06*D30))+(G30-G30*H30))</f>
        <v/>
      </c>
    </row>
    <row r="31">
      <c r="A31" s="10" t="n"/>
      <c r="B31" s="10" t="n"/>
      <c r="C31" s="10" t="n"/>
      <c r="D31" s="11" t="n"/>
      <c r="E31" s="11" t="n"/>
      <c r="F31" s="11" t="n"/>
      <c r="G31" s="11" t="n"/>
      <c r="H31" s="12" t="n"/>
      <c r="I31" s="13">
        <f>IF(D31="","",(D31+E31)+(D31+E31)*IF(UPPER(C31)="SIMPLES",0,0.2+$B$2+$D$2)+(D31+E31)*0.08+((D31+E31)/12+(D31+E31)*4/3/12)+((D31+E31)/12+(D31+E31)*4/3/12)*IF(UPPER(C31)="SIMPLES",0,0.2+$B$2+$D$2)+((D31+E31)/12+(D31+E31)*4/3/12)*0.08+0.4*0.08*((D31+E31)+((D31+E31)/12+(D31+E31)*4/3/12))+(F31-MIN(F31,0.06*D31))+(G31-G31*H31))</f>
        <v/>
      </c>
    </row>
    <row r="32">
      <c r="A32" s="10" t="n"/>
      <c r="B32" s="10" t="n"/>
      <c r="C32" s="10" t="n"/>
      <c r="D32" s="11" t="n"/>
      <c r="E32" s="11" t="n"/>
      <c r="F32" s="11" t="n"/>
      <c r="G32" s="11" t="n"/>
      <c r="H32" s="12" t="n"/>
      <c r="I32" s="13">
        <f>IF(D32="","",(D32+E32)+(D32+E32)*IF(UPPER(C32)="SIMPLES",0,0.2+$B$2+$D$2)+(D32+E32)*0.08+((D32+E32)/12+(D32+E32)*4/3/12)+((D32+E32)/12+(D32+E32)*4/3/12)*IF(UPPER(C32)="SIMPLES",0,0.2+$B$2+$D$2)+((D32+E32)/12+(D32+E32)*4/3/12)*0.08+0.4*0.08*((D32+E32)+((D32+E32)/12+(D32+E32)*4/3/12))+(F32-MIN(F32,0.06*D32))+(G32-G32*H32))</f>
        <v/>
      </c>
    </row>
    <row r="33">
      <c r="A33" s="10" t="n"/>
      <c r="B33" s="10" t="n"/>
      <c r="C33" s="10" t="n"/>
      <c r="D33" s="11" t="n"/>
      <c r="E33" s="11" t="n"/>
      <c r="F33" s="11" t="n"/>
      <c r="G33" s="11" t="n"/>
      <c r="H33" s="12" t="n"/>
      <c r="I33" s="13">
        <f>IF(D33="","",(D33+E33)+(D33+E33)*IF(UPPER(C33)="SIMPLES",0,0.2+$B$2+$D$2)+(D33+E33)*0.08+((D33+E33)/12+(D33+E33)*4/3/12)+((D33+E33)/12+(D33+E33)*4/3/12)*IF(UPPER(C33)="SIMPLES",0,0.2+$B$2+$D$2)+((D33+E33)/12+(D33+E33)*4/3/12)*0.08+0.4*0.08*((D33+E33)+((D33+E33)/12+(D33+E33)*4/3/12))+(F33-MIN(F33,0.06*D33))+(G33-G33*H33))</f>
        <v/>
      </c>
    </row>
    <row r="34">
      <c r="A34" s="10" t="n"/>
      <c r="B34" s="10" t="n"/>
      <c r="C34" s="10" t="n"/>
      <c r="D34" s="11" t="n"/>
      <c r="E34" s="11" t="n"/>
      <c r="F34" s="11" t="n"/>
      <c r="G34" s="11" t="n"/>
      <c r="H34" s="12" t="n"/>
      <c r="I34" s="13">
        <f>IF(D34="","",(D34+E34)+(D34+E34)*IF(UPPER(C34)="SIMPLES",0,0.2+$B$2+$D$2)+(D34+E34)*0.08+((D34+E34)/12+(D34+E34)*4/3/12)+((D34+E34)/12+(D34+E34)*4/3/12)*IF(UPPER(C34)="SIMPLES",0,0.2+$B$2+$D$2)+((D34+E34)/12+(D34+E34)*4/3/12)*0.08+0.4*0.08*((D34+E34)+((D34+E34)/12+(D34+E34)*4/3/12))+(F34-MIN(F34,0.06*D34))+(G34-G34*H34))</f>
        <v/>
      </c>
    </row>
    <row r="35">
      <c r="C35" s="6" t="inlineStr">
        <is>
          <t>TOTAL</t>
        </is>
      </c>
      <c r="D35" s="14">
        <f>COUNT(D5:D34)</f>
        <v/>
      </c>
      <c r="H35" s="15" t="inlineStr">
        <is>
          <t>Funcionários:</t>
        </is>
      </c>
      <c r="I35" s="16">
        <f>SUM(I5:I34)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</cols>
  <sheetData>
    <row r="1">
      <c r="A1" s="5" t="inlineStr">
        <is>
          <t>RESUMO POR CARGO</t>
        </is>
      </c>
    </row>
    <row r="3" ht="26" customHeight="1">
      <c r="A3" s="9" t="inlineStr">
        <is>
          <t>Cargo</t>
        </is>
      </c>
      <c r="B3" s="9" t="inlineStr">
        <is>
          <t>Funcionários</t>
        </is>
      </c>
      <c r="C3" s="9" t="inlineStr">
        <is>
          <t>Custo total/mês</t>
        </is>
      </c>
      <c r="D3" s="9" t="inlineStr">
        <is>
          <t>Custo médio</t>
        </is>
      </c>
    </row>
    <row r="4">
      <c r="A4" s="10" t="inlineStr">
        <is>
          <t>Vendedor</t>
        </is>
      </c>
      <c r="B4" s="17">
        <f>IF(A4="","",COUNTIF(Funcionários!$A$5:$A$34,A4))</f>
        <v/>
      </c>
      <c r="C4" s="11">
        <f>IF(A4="","",SUMIF(Funcionários!$A$5:$A$34,A4,Funcionários!$I$5:$I$34))</f>
        <v/>
      </c>
      <c r="D4" s="11">
        <f>IF(OR(A4="",B4=0),"",C4/B4)</f>
        <v/>
      </c>
    </row>
    <row r="5">
      <c r="A5" s="10" t="inlineStr">
        <is>
          <t>Gerente</t>
        </is>
      </c>
      <c r="B5" s="17">
        <f>IF(A5="","",COUNTIF(Funcionários!$A$5:$A$34,A5))</f>
        <v/>
      </c>
      <c r="C5" s="11">
        <f>IF(A5="","",SUMIF(Funcionários!$A$5:$A$34,A5,Funcionários!$I$5:$I$34))</f>
        <v/>
      </c>
      <c r="D5" s="11">
        <f>IF(OR(A5="",B5=0),"",C5/B5)</f>
        <v/>
      </c>
    </row>
    <row r="6">
      <c r="A6" s="10" t="n"/>
      <c r="B6" s="17">
        <f>IF(A6="","",COUNTIF(Funcionários!$A$5:$A$34,A6))</f>
        <v/>
      </c>
      <c r="C6" s="11">
        <f>IF(A6="","",SUMIF(Funcionários!$A$5:$A$34,A6,Funcionários!$I$5:$I$34))</f>
        <v/>
      </c>
      <c r="D6" s="11">
        <f>IF(OR(A6="",B6=0),"",C6/B6)</f>
        <v/>
      </c>
    </row>
    <row r="7">
      <c r="A7" s="10" t="n"/>
      <c r="B7" s="17">
        <f>IF(A7="","",COUNTIF(Funcionários!$A$5:$A$34,A7))</f>
        <v/>
      </c>
      <c r="C7" s="11">
        <f>IF(A7="","",SUMIF(Funcionários!$A$5:$A$34,A7,Funcionários!$I$5:$I$34))</f>
        <v/>
      </c>
      <c r="D7" s="11">
        <f>IF(OR(A7="",B7=0),"",C7/B7)</f>
        <v/>
      </c>
    </row>
    <row r="8">
      <c r="A8" s="10" t="n"/>
      <c r="B8" s="17">
        <f>IF(A8="","",COUNTIF(Funcionários!$A$5:$A$34,A8))</f>
        <v/>
      </c>
      <c r="C8" s="11">
        <f>IF(A8="","",SUMIF(Funcionários!$A$5:$A$34,A8,Funcionários!$I$5:$I$34))</f>
        <v/>
      </c>
      <c r="D8" s="11">
        <f>IF(OR(A8="",B8=0),"",C8/B8)</f>
        <v/>
      </c>
    </row>
    <row r="9">
      <c r="A9" s="10" t="n"/>
      <c r="B9" s="17">
        <f>IF(A9="","",COUNTIF(Funcionários!$A$5:$A$34,A9))</f>
        <v/>
      </c>
      <c r="C9" s="11">
        <f>IF(A9="","",SUMIF(Funcionários!$A$5:$A$34,A9,Funcionários!$I$5:$I$34))</f>
        <v/>
      </c>
      <c r="D9" s="11">
        <f>IF(OR(A9="",B9=0),"",C9/B9)</f>
        <v/>
      </c>
    </row>
    <row r="10">
      <c r="A10" s="10" t="n"/>
      <c r="B10" s="17">
        <f>IF(A10="","",COUNTIF(Funcionários!$A$5:$A$34,A10))</f>
        <v/>
      </c>
      <c r="C10" s="11">
        <f>IF(A10="","",SUMIF(Funcionários!$A$5:$A$34,A10,Funcionários!$I$5:$I$34))</f>
        <v/>
      </c>
      <c r="D10" s="11">
        <f>IF(OR(A10="",B10=0),"",C10/B10)</f>
        <v/>
      </c>
    </row>
    <row r="11">
      <c r="A11" s="10" t="n"/>
      <c r="B11" s="17">
        <f>IF(A11="","",COUNTIF(Funcionários!$A$5:$A$34,A11))</f>
        <v/>
      </c>
      <c r="C11" s="11">
        <f>IF(A11="","",SUMIF(Funcionários!$A$5:$A$34,A11,Funcionários!$I$5:$I$34))</f>
        <v/>
      </c>
      <c r="D11" s="11">
        <f>IF(OR(A11="",B11=0),"",C11/B11)</f>
        <v/>
      </c>
    </row>
    <row r="12">
      <c r="A12" s="10" t="n"/>
      <c r="B12" s="17">
        <f>IF(A12="","",COUNTIF(Funcionários!$A$5:$A$34,A12))</f>
        <v/>
      </c>
      <c r="C12" s="11">
        <f>IF(A12="","",SUMIF(Funcionários!$A$5:$A$34,A12,Funcionários!$I$5:$I$34))</f>
        <v/>
      </c>
      <c r="D12" s="11">
        <f>IF(OR(A12="",B12=0),"",C12/B12)</f>
        <v/>
      </c>
    </row>
    <row r="13">
      <c r="A13" s="10" t="n"/>
      <c r="B13" s="17">
        <f>IF(A13="","",COUNTIF(Funcionários!$A$5:$A$34,A13))</f>
        <v/>
      </c>
      <c r="C13" s="11">
        <f>IF(A13="","",SUMIF(Funcionários!$A$5:$A$34,A13,Funcionários!$I$5:$I$34))</f>
        <v/>
      </c>
      <c r="D13" s="11">
        <f>IF(OR(A13="",B13=0),"",C13/B13)</f>
        <v/>
      </c>
    </row>
    <row r="14">
      <c r="A14" s="10" t="n"/>
      <c r="B14" s="17">
        <f>IF(A14="","",COUNTIF(Funcionários!$A$5:$A$34,A14))</f>
        <v/>
      </c>
      <c r="C14" s="11">
        <f>IF(A14="","",SUMIF(Funcionários!$A$5:$A$34,A14,Funcionários!$I$5:$I$34))</f>
        <v/>
      </c>
      <c r="D14" s="11">
        <f>IF(OR(A14="",B14=0),"",C14/B14)</f>
        <v/>
      </c>
    </row>
    <row r="15">
      <c r="A15" s="10" t="n"/>
      <c r="B15" s="17">
        <f>IF(A15="","",COUNTIF(Funcionários!$A$5:$A$34,A15))</f>
        <v/>
      </c>
      <c r="C15" s="11">
        <f>IF(A15="","",SUMIF(Funcionários!$A$5:$A$34,A15,Funcionários!$I$5:$I$34))</f>
        <v/>
      </c>
      <c r="D15" s="11">
        <f>IF(OR(A15="",B15=0),"",C15/B15)</f>
        <v/>
      </c>
    </row>
    <row r="16">
      <c r="A16" s="10" t="n"/>
      <c r="B16" s="17">
        <f>IF(A16="","",COUNTIF(Funcionários!$A$5:$A$34,A16))</f>
        <v/>
      </c>
      <c r="C16" s="11">
        <f>IF(A16="","",SUMIF(Funcionários!$A$5:$A$34,A16,Funcionários!$I$5:$I$34))</f>
        <v/>
      </c>
      <c r="D16" s="11">
        <f>IF(OR(A16="",B16=0),"",C16/B16)</f>
        <v/>
      </c>
    </row>
    <row r="17">
      <c r="A17" s="10" t="n"/>
      <c r="B17" s="17">
        <f>IF(A17="","",COUNTIF(Funcionários!$A$5:$A$34,A17))</f>
        <v/>
      </c>
      <c r="C17" s="11">
        <f>IF(A17="","",SUMIF(Funcionários!$A$5:$A$34,A17,Funcionários!$I$5:$I$34))</f>
        <v/>
      </c>
      <c r="D17" s="11">
        <f>IF(OR(A17="",B17=0),"",C17/B17)</f>
        <v/>
      </c>
    </row>
    <row r="18">
      <c r="A18" s="10" t="n"/>
      <c r="B18" s="17">
        <f>IF(A18="","",COUNTIF(Funcionários!$A$5:$A$34,A18))</f>
        <v/>
      </c>
      <c r="C18" s="11">
        <f>IF(A18="","",SUMIF(Funcionários!$A$5:$A$34,A18,Funcionários!$I$5:$I$34))</f>
        <v/>
      </c>
      <c r="D18" s="11">
        <f>IF(OR(A18="",B18=0),"",C18/B18)</f>
        <v/>
      </c>
    </row>
    <row r="19">
      <c r="A19" s="18" t="inlineStr">
        <is>
          <t>TOTAL GERAL</t>
        </is>
      </c>
      <c r="B19" s="14">
        <f>SUM(B4:B18)</f>
        <v/>
      </c>
      <c r="C19" s="16">
        <f>SUM(C4:C18)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2026-06-29T16:01:01Z</dcterms:created>
  <dcterms:modified xmlns:dcterms="http://purl.org/dc/terms/" xmlns:xsi="http://www.w3.org/2001/XMLSchema-instance" xsi:type="dcterms:W3CDTF">2026-06-29T16:01:01Z</dcterms:modified>
</cp:coreProperties>
</file>