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çõe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Funcionários" sheetId="3" state="visible" r:id="rId3"/>
    <sheet xmlns:r="http://schemas.openxmlformats.org/officeDocument/2006/relationships" name="Resumo por Cargo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R$ #,##0.00"/>
  </numFmts>
  <fonts count="11">
    <font>
      <name val="Calibri"/>
      <family val="2"/>
      <color theme="1"/>
      <sz val="11"/>
      <scheme val="minor"/>
    </font>
    <font>
      <b val="1"/>
      <color rgb="001A56A5"/>
      <sz val="16"/>
    </font>
    <font>
      <color rgb="006B7A88"/>
      <sz val="10"/>
    </font>
    <font>
      <color rgb="003A4D66"/>
      <sz val="10"/>
    </font>
    <font>
      <b val="1"/>
      <color rgb="000E2540"/>
      <sz val="11"/>
    </font>
    <font>
      <b val="1"/>
      <color rgb="00FFFFFF"/>
      <sz val="14"/>
    </font>
    <font>
      <b val="1"/>
    </font>
    <font>
      <i val="1"/>
      <color rgb="006B7A88"/>
      <sz val="10"/>
    </font>
    <font>
      <b val="1"/>
      <color rgb="00FFFFFF"/>
    </font>
    <font>
      <b val="1"/>
      <sz val="10"/>
    </font>
    <font>
      <b val="1"/>
      <color rgb="006B7A88"/>
      <sz val="10"/>
    </font>
  </fonts>
  <fills count="7">
    <fill>
      <patternFill/>
    </fill>
    <fill>
      <patternFill patternType="gray125"/>
    </fill>
    <fill>
      <patternFill patternType="solid">
        <fgColor rgb="000E2540"/>
      </patternFill>
    </fill>
    <fill>
      <patternFill patternType="solid">
        <fgColor rgb="00FFF4D6"/>
      </patternFill>
    </fill>
    <fill>
      <patternFill patternType="solid">
        <fgColor rgb="001A56A5"/>
      </patternFill>
    </fill>
    <fill>
      <patternFill patternType="solid">
        <fgColor rgb="00EAF2FE"/>
      </patternFill>
    </fill>
    <fill>
      <patternFill patternType="solid">
        <fgColor rgb="00E6F5F0"/>
      </patternFill>
    </fill>
  </fills>
  <borders count="2">
    <border>
      <left/>
      <right/>
      <top/>
      <bottom/>
      <diagonal/>
    </border>
    <border>
      <left style="thin">
        <color rgb="00D5DCE4"/>
      </left>
      <right style="thin">
        <color rgb="00D5DCE4"/>
      </right>
      <top style="thin">
        <color rgb="00D5DCE4"/>
      </top>
      <bottom style="thin">
        <color rgb="00D5DCE4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0" applyAlignment="1" pivotButton="0" quotePrefix="0" xfId="0">
      <alignment horizontal="center" vertical="center" wrapText="1"/>
    </xf>
    <xf numFmtId="0" fontId="10" fillId="0" borderId="0" pivotButton="0" quotePrefix="0" xfId="0"/>
    <xf numFmtId="1" fontId="1" fillId="0" borderId="0" pivotButton="0" quotePrefix="0" xfId="0"/>
    <xf numFmtId="165" fontId="1" fillId="0" borderId="0" pivotButton="0" quotePrefix="0" xfId="0"/>
    <xf numFmtId="9" fontId="1" fillId="0" borderId="0" pivotButton="0" quotePrefix="0" xfId="0"/>
    <xf numFmtId="0" fontId="6" fillId="0" borderId="0" pivotButton="0" quotePrefix="0" xfId="0"/>
    <xf numFmtId="0" fontId="8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165" fontId="0" fillId="0" borderId="1" pivotButton="0" quotePrefix="0" xfId="0"/>
    <xf numFmtId="164" fontId="0" fillId="3" borderId="1" pivotButton="0" quotePrefix="0" xfId="0"/>
    <xf numFmtId="0" fontId="7" fillId="0" borderId="0" pivotButton="0" quotePrefix="0" xfId="0"/>
    <xf numFmtId="164" fontId="0" fillId="0" borderId="1" pivotButton="0" quotePrefix="0" xfId="0"/>
    <xf numFmtId="165" fontId="6" fillId="5" borderId="1" pivotButton="0" quotePrefix="0" xfId="0"/>
    <xf numFmtId="1" fontId="6" fillId="6" borderId="1" pivotButton="0" quotePrefix="0" xfId="0"/>
    <xf numFmtId="0" fontId="9" fillId="0" borderId="0" pivotButton="0" quotePrefix="0" xfId="0"/>
    <xf numFmtId="165" fontId="6" fillId="6" borderId="1" pivotButton="0" quotePrefix="0" xfId="0"/>
    <xf numFmtId="1" fontId="0" fillId="0" borderId="1" pivotButton="0" quotePrefix="0" xfId="0"/>
    <xf numFmtId="0" fontId="6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Custo por regime</a:t>
            </a:r>
          </a:p>
        </rich>
      </tx>
    </title>
    <plotArea>
      <pieChart>
        <varyColors val="1"/>
        <ser>
          <idx val="0"/>
          <order val="0"/>
          <tx>
            <strRef>
              <f>'Dashboard'!B9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'Dashboard'!$A$10:$A$11</f>
            </numRef>
          </cat>
          <val>
            <numRef>
              <f>'Dashboard'!$B$10:$B$11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Custo por cargo (R$)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'Resumo por Cargo'!C3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'Resumo por Cargo'!$A$4:$A$15</f>
            </numRef>
          </cat>
          <val>
            <numRef>
              <f>'Resumo por Cargo'!$C$4:$C$15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Custo total por cargo (R$)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'Resumo por Cargo'!C3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'Resumo por Cargo'!$A$4:$A$15</f>
            </numRef>
          </cat>
          <val>
            <numRef>
              <f>'Resumo por Cargo'!$C$4:$C$15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12</row>
      <rowOff>0</rowOff>
    </from>
    <ext cx="32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12</row>
      <rowOff>0</rowOff>
    </from>
    <ext cx="39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2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98" customWidth="1" min="2" max="2"/>
  </cols>
  <sheetData>
    <row r="2">
      <c r="B2" s="1" t="inlineStr">
        <is>
          <t>PLANILHA DE CUSTO DE FUNCIONÁRIOS POR CARGO</t>
        </is>
      </c>
    </row>
    <row r="3">
      <c r="B3" s="2" t="inlineStr">
        <is>
          <t>Gestor Certo · Grupo Gestor — Escritório de Contabilidade</t>
        </is>
      </c>
    </row>
    <row r="5">
      <c r="B5" s="3" t="inlineStr"/>
    </row>
    <row r="6">
      <c r="B6" s="4" t="inlineStr">
        <is>
          <t>Como usar:</t>
        </is>
      </c>
    </row>
    <row r="7">
      <c r="B7" s="3" t="inlineStr">
        <is>
          <t>1) Na aba FUNCIONÁRIOS, ajuste RAT (%) e Terceiros (%) no topo (valem para quem não é Simples).</t>
        </is>
      </c>
    </row>
    <row r="8">
      <c r="B8" s="3" t="inlineStr">
        <is>
          <t>2) Cadastre um funcionário por linha: Cargo, Nome, Regime ('Simples' ou 'Presumido'), Salário, Comissões, VT, VR, Desconto do VR e Plano de saúde/outros benefícios.</t>
        </is>
      </c>
    </row>
    <row r="9">
      <c r="B9" s="3" t="inlineStr">
        <is>
          <t>3) A coluna 'Custo total mensal' calcula sozinha.</t>
        </is>
      </c>
    </row>
    <row r="10">
      <c r="B10" s="3" t="inlineStr">
        <is>
          <t>4) Escreva os cargos na aba RESUMO POR CARGO — ela soma quantidade e custo por cargo e mostra o gráfico.</t>
        </is>
      </c>
    </row>
    <row r="11">
      <c r="B11" s="3" t="inlineStr">
        <is>
          <t>5) Veja a aba DASHBOARD para os indicadores e gráficos da folha.</t>
        </is>
      </c>
    </row>
    <row r="12">
      <c r="B12" s="3" t="inlineStr"/>
    </row>
    <row r="13">
      <c r="B13" s="3" t="inlineStr">
        <is>
          <t>O que entra no custo: remuneração (salário+comissões); INSS patronal 20% + RAT + Terceiros (só fora do Simples); FGTS 8%; provisões de 13º e férias+1/3 (com encargos); provisão da multa de 40% do FGTS; VT (desconto até 6% do salário); VR (desconto da coluna); e plano de saúde/outros benefícios.</t>
        </is>
      </c>
    </row>
    <row r="14">
      <c r="B14" s="3" t="inlineStr"/>
    </row>
    <row r="15">
      <c r="B15" s="3" t="inlineStr">
        <is>
          <t>Dica: escreva o Cargo igual nas abas para o resumo somar certo. Valores ilustrativos — a folha real depende da convenção coletiva. Gestor Certo: (11) 91404-0532.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4" customWidth="1" min="3" max="3"/>
    <col width="22" customWidth="1" min="4" max="4"/>
    <col width="18" customWidth="1" min="5" max="5"/>
    <col width="4" customWidth="1" min="6" max="6"/>
  </cols>
  <sheetData>
    <row r="1" ht="26" customHeight="1">
      <c r="A1" s="5" t="inlineStr">
        <is>
          <t>DASHBOARD DA FOLHA</t>
        </is>
      </c>
    </row>
    <row r="3">
      <c r="A3" s="6" t="inlineStr">
        <is>
          <t>Funcionários</t>
        </is>
      </c>
      <c r="B3" s="6" t="inlineStr">
        <is>
          <t>Custo total da folha/mês</t>
        </is>
      </c>
      <c r="D3" s="6" t="inlineStr">
        <is>
          <t>Custo médio por funcionário</t>
        </is>
      </c>
      <c r="E3" s="6" t="inlineStr">
        <is>
          <t>% médio sobre salários</t>
        </is>
      </c>
    </row>
    <row r="4">
      <c r="A4" s="7">
        <f>COUNT('Funcionários'!D5:D34)</f>
        <v/>
      </c>
      <c r="B4" s="8">
        <f>SUM('Funcionários'!J5:J34)</f>
        <v/>
      </c>
      <c r="D4" s="8">
        <f>IFERROR(SUM('Funcionários'!J5:J34)/COUNT('Funcionários'!D5:D34),0)</f>
        <v/>
      </c>
      <c r="E4" s="9">
        <f>IFERROR(SUM('Funcionários'!J5:J34)/SUM('Funcionários'!D5:D34),0)</f>
        <v/>
      </c>
    </row>
    <row r="8">
      <c r="A8" s="10" t="inlineStr">
        <is>
          <t>Custo por regime</t>
        </is>
      </c>
    </row>
    <row r="9">
      <c r="A9" s="11" t="inlineStr">
        <is>
          <t>Regime</t>
        </is>
      </c>
      <c r="B9" s="11" t="inlineStr">
        <is>
          <t>Custo/mês</t>
        </is>
      </c>
    </row>
    <row r="10">
      <c r="A10" s="12" t="inlineStr">
        <is>
          <t>Simples</t>
        </is>
      </c>
      <c r="B10" s="13">
        <f>SUMIF('Funcionários'!$C$5:$C$34,"Simples",'Funcionários'!$J$5:$J$34)</f>
        <v/>
      </c>
    </row>
    <row r="11">
      <c r="A11" s="12" t="inlineStr">
        <is>
          <t>Presumido/Real</t>
        </is>
      </c>
      <c r="B11" s="13">
        <f>SUM('Funcionários'!$J$5:$J$34)-B10</f>
        <v/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9" customWidth="1" min="1" max="1"/>
    <col width="18" customWidth="1" min="2" max="2"/>
    <col width="13" customWidth="1" min="3" max="3"/>
    <col width="12" customWidth="1" min="4" max="4"/>
    <col width="11" customWidth="1" min="5" max="5"/>
    <col width="10" customWidth="1" min="6" max="6"/>
    <col width="10" customWidth="1" min="7" max="7"/>
    <col width="11" customWidth="1" min="8" max="8"/>
    <col width="15" customWidth="1" min="9" max="9"/>
    <col width="17" customWidth="1" min="10" max="10"/>
  </cols>
  <sheetData>
    <row r="1" ht="24" customHeight="1">
      <c r="A1" s="5" t="inlineStr">
        <is>
          <t>CUSTO DE FUNCIONÁRIOS — UM POR LINHA</t>
        </is>
      </c>
    </row>
    <row r="2">
      <c r="A2" s="10" t="inlineStr">
        <is>
          <t>RAT (%):</t>
        </is>
      </c>
      <c r="B2" s="14" t="n">
        <v>0.02</v>
      </c>
      <c r="C2" s="10" t="inlineStr">
        <is>
          <t>Terceiros (%):</t>
        </is>
      </c>
      <c r="D2" s="14" t="n">
        <v>0.058</v>
      </c>
      <c r="F2" s="15" t="inlineStr">
        <is>
          <t>Regime: escreva 'Simples' ou 'Presumido' em cada linha</t>
        </is>
      </c>
    </row>
    <row r="4" ht="30" customHeight="1">
      <c r="A4" s="11" t="inlineStr">
        <is>
          <t>Cargo</t>
        </is>
      </c>
      <c r="B4" s="11" t="inlineStr">
        <is>
          <t>Nome</t>
        </is>
      </c>
      <c r="C4" s="11" t="inlineStr">
        <is>
          <t>Regime</t>
        </is>
      </c>
      <c r="D4" s="11" t="inlineStr">
        <is>
          <t>Salário</t>
        </is>
      </c>
      <c r="E4" s="11" t="inlineStr">
        <is>
          <t>Comissões</t>
        </is>
      </c>
      <c r="F4" s="11" t="inlineStr">
        <is>
          <t>VT (mês)</t>
        </is>
      </c>
      <c r="G4" s="11" t="inlineStr">
        <is>
          <t>VR (mês)</t>
        </is>
      </c>
      <c r="H4" s="11" t="inlineStr">
        <is>
          <t>Desc. VR (%)</t>
        </is>
      </c>
      <c r="I4" s="11" t="inlineStr">
        <is>
          <t>Plano saúde/outros</t>
        </is>
      </c>
      <c r="J4" s="11" t="inlineStr">
        <is>
          <t>Custo total mensal</t>
        </is>
      </c>
    </row>
    <row r="5">
      <c r="A5" s="12" t="inlineStr">
        <is>
          <t>Vendedor</t>
        </is>
      </c>
      <c r="B5" s="12" t="inlineStr">
        <is>
          <t>Ana</t>
        </is>
      </c>
      <c r="C5" s="12" t="inlineStr">
        <is>
          <t>Simples</t>
        </is>
      </c>
      <c r="D5" s="13" t="n">
        <v>2000</v>
      </c>
      <c r="E5" s="13" t="n">
        <v>800</v>
      </c>
      <c r="F5" s="13" t="n">
        <v>250</v>
      </c>
      <c r="G5" s="13" t="n">
        <v>500</v>
      </c>
      <c r="H5" s="16" t="n">
        <v>0.2</v>
      </c>
      <c r="I5" s="13" t="n"/>
      <c r="J5" s="17">
        <f>IF(D5="","",(D5+E5)+(D5+E5)*IF(UPPER(C5)="SIMPLES",0,0.2+$B$2+$D$2)+(D5+E5)*0.08+((D5+E5)/12+(D5+E5)*4/3/12)+((D5+E5)/12+(D5+E5)*4/3/12)*IF(UPPER(C5)="SIMPLES",0,0.2+$B$2+$D$2)+((D5+E5)/12+(D5+E5)*4/3/12)*0.08+0.4*0.08*((D5+E5)+((D5+E5)/12+(D5+E5)*4/3/12))+(F5-MIN(F5,0.06*D5))+(G5-G5*H5)+I5)</f>
        <v/>
      </c>
    </row>
    <row r="6">
      <c r="A6" s="12" t="inlineStr">
        <is>
          <t>Vendedor</t>
        </is>
      </c>
      <c r="B6" s="12" t="inlineStr">
        <is>
          <t>Bruno</t>
        </is>
      </c>
      <c r="C6" s="12" t="inlineStr">
        <is>
          <t>Simples</t>
        </is>
      </c>
      <c r="D6" s="13" t="n">
        <v>2000</v>
      </c>
      <c r="E6" s="13" t="n">
        <v>500</v>
      </c>
      <c r="F6" s="13" t="n">
        <v>250</v>
      </c>
      <c r="G6" s="13" t="n">
        <v>500</v>
      </c>
      <c r="H6" s="16" t="n">
        <v>0.2</v>
      </c>
      <c r="I6" s="13" t="n"/>
      <c r="J6" s="17">
        <f>IF(D6="","",(D6+E6)+(D6+E6)*IF(UPPER(C6)="SIMPLES",0,0.2+$B$2+$D$2)+(D6+E6)*0.08+((D6+E6)/12+(D6+E6)*4/3/12)+((D6+E6)/12+(D6+E6)*4/3/12)*IF(UPPER(C6)="SIMPLES",0,0.2+$B$2+$D$2)+((D6+E6)/12+(D6+E6)*4/3/12)*0.08+0.4*0.08*((D6+E6)+((D6+E6)/12+(D6+E6)*4/3/12))+(F6-MIN(F6,0.06*D6))+(G6-G6*H6)+I6)</f>
        <v/>
      </c>
    </row>
    <row r="7">
      <c r="A7" s="12" t="inlineStr">
        <is>
          <t>Gerente</t>
        </is>
      </c>
      <c r="B7" s="12" t="inlineStr">
        <is>
          <t>Carla</t>
        </is>
      </c>
      <c r="C7" s="12" t="inlineStr">
        <is>
          <t>Presumido</t>
        </is>
      </c>
      <c r="D7" s="13" t="n">
        <v>6000</v>
      </c>
      <c r="E7" s="13" t="n">
        <v>0</v>
      </c>
      <c r="F7" s="13" t="n">
        <v>0</v>
      </c>
      <c r="G7" s="13" t="n">
        <v>800</v>
      </c>
      <c r="H7" s="16" t="n">
        <v>0.2</v>
      </c>
      <c r="I7" s="13" t="n"/>
      <c r="J7" s="17">
        <f>IF(D7="","",(D7+E7)+(D7+E7)*IF(UPPER(C7)="SIMPLES",0,0.2+$B$2+$D$2)+(D7+E7)*0.08+((D7+E7)/12+(D7+E7)*4/3/12)+((D7+E7)/12+(D7+E7)*4/3/12)*IF(UPPER(C7)="SIMPLES",0,0.2+$B$2+$D$2)+((D7+E7)/12+(D7+E7)*4/3/12)*0.08+0.4*0.08*((D7+E7)+((D7+E7)/12+(D7+E7)*4/3/12))+(F7-MIN(F7,0.06*D7))+(G7-G7*H7)+I7)</f>
        <v/>
      </c>
    </row>
    <row r="8">
      <c r="A8" s="12" t="n"/>
      <c r="B8" s="12" t="n"/>
      <c r="C8" s="12" t="n"/>
      <c r="D8" s="13" t="n"/>
      <c r="E8" s="13" t="n"/>
      <c r="F8" s="13" t="n"/>
      <c r="G8" s="13" t="n"/>
      <c r="H8" s="16" t="n"/>
      <c r="I8" s="13" t="n"/>
      <c r="J8" s="17">
        <f>IF(D8="","",(D8+E8)+(D8+E8)*IF(UPPER(C8)="SIMPLES",0,0.2+$B$2+$D$2)+(D8+E8)*0.08+((D8+E8)/12+(D8+E8)*4/3/12)+((D8+E8)/12+(D8+E8)*4/3/12)*IF(UPPER(C8)="SIMPLES",0,0.2+$B$2+$D$2)+((D8+E8)/12+(D8+E8)*4/3/12)*0.08+0.4*0.08*((D8+E8)+((D8+E8)/12+(D8+E8)*4/3/12))+(F8-MIN(F8,0.06*D8))+(G8-G8*H8)+I8)</f>
        <v/>
      </c>
    </row>
    <row r="9">
      <c r="A9" s="12" t="n"/>
      <c r="B9" s="12" t="n"/>
      <c r="C9" s="12" t="n"/>
      <c r="D9" s="13" t="n"/>
      <c r="E9" s="13" t="n"/>
      <c r="F9" s="13" t="n"/>
      <c r="G9" s="13" t="n"/>
      <c r="H9" s="16" t="n"/>
      <c r="I9" s="13" t="n"/>
      <c r="J9" s="17">
        <f>IF(D9="","",(D9+E9)+(D9+E9)*IF(UPPER(C9)="SIMPLES",0,0.2+$B$2+$D$2)+(D9+E9)*0.08+((D9+E9)/12+(D9+E9)*4/3/12)+((D9+E9)/12+(D9+E9)*4/3/12)*IF(UPPER(C9)="SIMPLES",0,0.2+$B$2+$D$2)+((D9+E9)/12+(D9+E9)*4/3/12)*0.08+0.4*0.08*((D9+E9)+((D9+E9)/12+(D9+E9)*4/3/12))+(F9-MIN(F9,0.06*D9))+(G9-G9*H9)+I9)</f>
        <v/>
      </c>
    </row>
    <row r="10">
      <c r="A10" s="12" t="n"/>
      <c r="B10" s="12" t="n"/>
      <c r="C10" s="12" t="n"/>
      <c r="D10" s="13" t="n"/>
      <c r="E10" s="13" t="n"/>
      <c r="F10" s="13" t="n"/>
      <c r="G10" s="13" t="n"/>
      <c r="H10" s="16" t="n"/>
      <c r="I10" s="13" t="n"/>
      <c r="J10" s="17">
        <f>IF(D10="","",(D10+E10)+(D10+E10)*IF(UPPER(C10)="SIMPLES",0,0.2+$B$2+$D$2)+(D10+E10)*0.08+((D10+E10)/12+(D10+E10)*4/3/12)+((D10+E10)/12+(D10+E10)*4/3/12)*IF(UPPER(C10)="SIMPLES",0,0.2+$B$2+$D$2)+((D10+E10)/12+(D10+E10)*4/3/12)*0.08+0.4*0.08*((D10+E10)+((D10+E10)/12+(D10+E10)*4/3/12))+(F10-MIN(F10,0.06*D10))+(G10-G10*H10)+I10)</f>
        <v/>
      </c>
    </row>
    <row r="11">
      <c r="A11" s="12" t="n"/>
      <c r="B11" s="12" t="n"/>
      <c r="C11" s="12" t="n"/>
      <c r="D11" s="13" t="n"/>
      <c r="E11" s="13" t="n"/>
      <c r="F11" s="13" t="n"/>
      <c r="G11" s="13" t="n"/>
      <c r="H11" s="16" t="n"/>
      <c r="I11" s="13" t="n"/>
      <c r="J11" s="17">
        <f>IF(D11="","",(D11+E11)+(D11+E11)*IF(UPPER(C11)="SIMPLES",0,0.2+$B$2+$D$2)+(D11+E11)*0.08+((D11+E11)/12+(D11+E11)*4/3/12)+((D11+E11)/12+(D11+E11)*4/3/12)*IF(UPPER(C11)="SIMPLES",0,0.2+$B$2+$D$2)+((D11+E11)/12+(D11+E11)*4/3/12)*0.08+0.4*0.08*((D11+E11)+((D11+E11)/12+(D11+E11)*4/3/12))+(F11-MIN(F11,0.06*D11))+(G11-G11*H11)+I11)</f>
        <v/>
      </c>
    </row>
    <row r="12">
      <c r="A12" s="12" t="n"/>
      <c r="B12" s="12" t="n"/>
      <c r="C12" s="12" t="n"/>
      <c r="D12" s="13" t="n"/>
      <c r="E12" s="13" t="n"/>
      <c r="F12" s="13" t="n"/>
      <c r="G12" s="13" t="n"/>
      <c r="H12" s="16" t="n"/>
      <c r="I12" s="13" t="n"/>
      <c r="J12" s="17">
        <f>IF(D12="","",(D12+E12)+(D12+E12)*IF(UPPER(C12)="SIMPLES",0,0.2+$B$2+$D$2)+(D12+E12)*0.08+((D12+E12)/12+(D12+E12)*4/3/12)+((D12+E12)/12+(D12+E12)*4/3/12)*IF(UPPER(C12)="SIMPLES",0,0.2+$B$2+$D$2)+((D12+E12)/12+(D12+E12)*4/3/12)*0.08+0.4*0.08*((D12+E12)+((D12+E12)/12+(D12+E12)*4/3/12))+(F12-MIN(F12,0.06*D12))+(G12-G12*H12)+I12)</f>
        <v/>
      </c>
    </row>
    <row r="13">
      <c r="A13" s="12" t="n"/>
      <c r="B13" s="12" t="n"/>
      <c r="C13" s="12" t="n"/>
      <c r="D13" s="13" t="n"/>
      <c r="E13" s="13" t="n"/>
      <c r="F13" s="13" t="n"/>
      <c r="G13" s="13" t="n"/>
      <c r="H13" s="16" t="n"/>
      <c r="I13" s="13" t="n"/>
      <c r="J13" s="17">
        <f>IF(D13="","",(D13+E13)+(D13+E13)*IF(UPPER(C13)="SIMPLES",0,0.2+$B$2+$D$2)+(D13+E13)*0.08+((D13+E13)/12+(D13+E13)*4/3/12)+((D13+E13)/12+(D13+E13)*4/3/12)*IF(UPPER(C13)="SIMPLES",0,0.2+$B$2+$D$2)+((D13+E13)/12+(D13+E13)*4/3/12)*0.08+0.4*0.08*((D13+E13)+((D13+E13)/12+(D13+E13)*4/3/12))+(F13-MIN(F13,0.06*D13))+(G13-G13*H13)+I13)</f>
        <v/>
      </c>
    </row>
    <row r="14">
      <c r="A14" s="12" t="n"/>
      <c r="B14" s="12" t="n"/>
      <c r="C14" s="12" t="n"/>
      <c r="D14" s="13" t="n"/>
      <c r="E14" s="13" t="n"/>
      <c r="F14" s="13" t="n"/>
      <c r="G14" s="13" t="n"/>
      <c r="H14" s="16" t="n"/>
      <c r="I14" s="13" t="n"/>
      <c r="J14" s="17">
        <f>IF(D14="","",(D14+E14)+(D14+E14)*IF(UPPER(C14)="SIMPLES",0,0.2+$B$2+$D$2)+(D14+E14)*0.08+((D14+E14)/12+(D14+E14)*4/3/12)+((D14+E14)/12+(D14+E14)*4/3/12)*IF(UPPER(C14)="SIMPLES",0,0.2+$B$2+$D$2)+((D14+E14)/12+(D14+E14)*4/3/12)*0.08+0.4*0.08*((D14+E14)+((D14+E14)/12+(D14+E14)*4/3/12))+(F14-MIN(F14,0.06*D14))+(G14-G14*H14)+I14)</f>
        <v/>
      </c>
    </row>
    <row r="15">
      <c r="A15" s="12" t="n"/>
      <c r="B15" s="12" t="n"/>
      <c r="C15" s="12" t="n"/>
      <c r="D15" s="13" t="n"/>
      <c r="E15" s="13" t="n"/>
      <c r="F15" s="13" t="n"/>
      <c r="G15" s="13" t="n"/>
      <c r="H15" s="16" t="n"/>
      <c r="I15" s="13" t="n"/>
      <c r="J15" s="17">
        <f>IF(D15="","",(D15+E15)+(D15+E15)*IF(UPPER(C15)="SIMPLES",0,0.2+$B$2+$D$2)+(D15+E15)*0.08+((D15+E15)/12+(D15+E15)*4/3/12)+((D15+E15)/12+(D15+E15)*4/3/12)*IF(UPPER(C15)="SIMPLES",0,0.2+$B$2+$D$2)+((D15+E15)/12+(D15+E15)*4/3/12)*0.08+0.4*0.08*((D15+E15)+((D15+E15)/12+(D15+E15)*4/3/12))+(F15-MIN(F15,0.06*D15))+(G15-G15*H15)+I15)</f>
        <v/>
      </c>
    </row>
    <row r="16">
      <c r="A16" s="12" t="n"/>
      <c r="B16" s="12" t="n"/>
      <c r="C16" s="12" t="n"/>
      <c r="D16" s="13" t="n"/>
      <c r="E16" s="13" t="n"/>
      <c r="F16" s="13" t="n"/>
      <c r="G16" s="13" t="n"/>
      <c r="H16" s="16" t="n"/>
      <c r="I16" s="13" t="n"/>
      <c r="J16" s="17">
        <f>IF(D16="","",(D16+E16)+(D16+E16)*IF(UPPER(C16)="SIMPLES",0,0.2+$B$2+$D$2)+(D16+E16)*0.08+((D16+E16)/12+(D16+E16)*4/3/12)+((D16+E16)/12+(D16+E16)*4/3/12)*IF(UPPER(C16)="SIMPLES",0,0.2+$B$2+$D$2)+((D16+E16)/12+(D16+E16)*4/3/12)*0.08+0.4*0.08*((D16+E16)+((D16+E16)/12+(D16+E16)*4/3/12))+(F16-MIN(F16,0.06*D16))+(G16-G16*H16)+I16)</f>
        <v/>
      </c>
    </row>
    <row r="17">
      <c r="A17" s="12" t="n"/>
      <c r="B17" s="12" t="n"/>
      <c r="C17" s="12" t="n"/>
      <c r="D17" s="13" t="n"/>
      <c r="E17" s="13" t="n"/>
      <c r="F17" s="13" t="n"/>
      <c r="G17" s="13" t="n"/>
      <c r="H17" s="16" t="n"/>
      <c r="I17" s="13" t="n"/>
      <c r="J17" s="17">
        <f>IF(D17="","",(D17+E17)+(D17+E17)*IF(UPPER(C17)="SIMPLES",0,0.2+$B$2+$D$2)+(D17+E17)*0.08+((D17+E17)/12+(D17+E17)*4/3/12)+((D17+E17)/12+(D17+E17)*4/3/12)*IF(UPPER(C17)="SIMPLES",0,0.2+$B$2+$D$2)+((D17+E17)/12+(D17+E17)*4/3/12)*0.08+0.4*0.08*((D17+E17)+((D17+E17)/12+(D17+E17)*4/3/12))+(F17-MIN(F17,0.06*D17))+(G17-G17*H17)+I17)</f>
        <v/>
      </c>
    </row>
    <row r="18">
      <c r="A18" s="12" t="n"/>
      <c r="B18" s="12" t="n"/>
      <c r="C18" s="12" t="n"/>
      <c r="D18" s="13" t="n"/>
      <c r="E18" s="13" t="n"/>
      <c r="F18" s="13" t="n"/>
      <c r="G18" s="13" t="n"/>
      <c r="H18" s="16" t="n"/>
      <c r="I18" s="13" t="n"/>
      <c r="J18" s="17">
        <f>IF(D18="","",(D18+E18)+(D18+E18)*IF(UPPER(C18)="SIMPLES",0,0.2+$B$2+$D$2)+(D18+E18)*0.08+((D18+E18)/12+(D18+E18)*4/3/12)+((D18+E18)/12+(D18+E18)*4/3/12)*IF(UPPER(C18)="SIMPLES",0,0.2+$B$2+$D$2)+((D18+E18)/12+(D18+E18)*4/3/12)*0.08+0.4*0.08*((D18+E18)+((D18+E18)/12+(D18+E18)*4/3/12))+(F18-MIN(F18,0.06*D18))+(G18-G18*H18)+I18)</f>
        <v/>
      </c>
    </row>
    <row r="19">
      <c r="A19" s="12" t="n"/>
      <c r="B19" s="12" t="n"/>
      <c r="C19" s="12" t="n"/>
      <c r="D19" s="13" t="n"/>
      <c r="E19" s="13" t="n"/>
      <c r="F19" s="13" t="n"/>
      <c r="G19" s="13" t="n"/>
      <c r="H19" s="16" t="n"/>
      <c r="I19" s="13" t="n"/>
      <c r="J19" s="17">
        <f>IF(D19="","",(D19+E19)+(D19+E19)*IF(UPPER(C19)="SIMPLES",0,0.2+$B$2+$D$2)+(D19+E19)*0.08+((D19+E19)/12+(D19+E19)*4/3/12)+((D19+E19)/12+(D19+E19)*4/3/12)*IF(UPPER(C19)="SIMPLES",0,0.2+$B$2+$D$2)+((D19+E19)/12+(D19+E19)*4/3/12)*0.08+0.4*0.08*((D19+E19)+((D19+E19)/12+(D19+E19)*4/3/12))+(F19-MIN(F19,0.06*D19))+(G19-G19*H19)+I19)</f>
        <v/>
      </c>
    </row>
    <row r="20">
      <c r="A20" s="12" t="n"/>
      <c r="B20" s="12" t="n"/>
      <c r="C20" s="12" t="n"/>
      <c r="D20" s="13" t="n"/>
      <c r="E20" s="13" t="n"/>
      <c r="F20" s="13" t="n"/>
      <c r="G20" s="13" t="n"/>
      <c r="H20" s="16" t="n"/>
      <c r="I20" s="13" t="n"/>
      <c r="J20" s="17">
        <f>IF(D20="","",(D20+E20)+(D20+E20)*IF(UPPER(C20)="SIMPLES",0,0.2+$B$2+$D$2)+(D20+E20)*0.08+((D20+E20)/12+(D20+E20)*4/3/12)+((D20+E20)/12+(D20+E20)*4/3/12)*IF(UPPER(C20)="SIMPLES",0,0.2+$B$2+$D$2)+((D20+E20)/12+(D20+E20)*4/3/12)*0.08+0.4*0.08*((D20+E20)+((D20+E20)/12+(D20+E20)*4/3/12))+(F20-MIN(F20,0.06*D20))+(G20-G20*H20)+I20)</f>
        <v/>
      </c>
    </row>
    <row r="21">
      <c r="A21" s="12" t="n"/>
      <c r="B21" s="12" t="n"/>
      <c r="C21" s="12" t="n"/>
      <c r="D21" s="13" t="n"/>
      <c r="E21" s="13" t="n"/>
      <c r="F21" s="13" t="n"/>
      <c r="G21" s="13" t="n"/>
      <c r="H21" s="16" t="n"/>
      <c r="I21" s="13" t="n"/>
      <c r="J21" s="17">
        <f>IF(D21="","",(D21+E21)+(D21+E21)*IF(UPPER(C21)="SIMPLES",0,0.2+$B$2+$D$2)+(D21+E21)*0.08+((D21+E21)/12+(D21+E21)*4/3/12)+((D21+E21)/12+(D21+E21)*4/3/12)*IF(UPPER(C21)="SIMPLES",0,0.2+$B$2+$D$2)+((D21+E21)/12+(D21+E21)*4/3/12)*0.08+0.4*0.08*((D21+E21)+((D21+E21)/12+(D21+E21)*4/3/12))+(F21-MIN(F21,0.06*D21))+(G21-G21*H21)+I21)</f>
        <v/>
      </c>
    </row>
    <row r="22">
      <c r="A22" s="12" t="n"/>
      <c r="B22" s="12" t="n"/>
      <c r="C22" s="12" t="n"/>
      <c r="D22" s="13" t="n"/>
      <c r="E22" s="13" t="n"/>
      <c r="F22" s="13" t="n"/>
      <c r="G22" s="13" t="n"/>
      <c r="H22" s="16" t="n"/>
      <c r="I22" s="13" t="n"/>
      <c r="J22" s="17">
        <f>IF(D22="","",(D22+E22)+(D22+E22)*IF(UPPER(C22)="SIMPLES",0,0.2+$B$2+$D$2)+(D22+E22)*0.08+((D22+E22)/12+(D22+E22)*4/3/12)+((D22+E22)/12+(D22+E22)*4/3/12)*IF(UPPER(C22)="SIMPLES",0,0.2+$B$2+$D$2)+((D22+E22)/12+(D22+E22)*4/3/12)*0.08+0.4*0.08*((D22+E22)+((D22+E22)/12+(D22+E22)*4/3/12))+(F22-MIN(F22,0.06*D22))+(G22-G22*H22)+I22)</f>
        <v/>
      </c>
    </row>
    <row r="23">
      <c r="A23" s="12" t="n"/>
      <c r="B23" s="12" t="n"/>
      <c r="C23" s="12" t="n"/>
      <c r="D23" s="13" t="n"/>
      <c r="E23" s="13" t="n"/>
      <c r="F23" s="13" t="n"/>
      <c r="G23" s="13" t="n"/>
      <c r="H23" s="16" t="n"/>
      <c r="I23" s="13" t="n"/>
      <c r="J23" s="17">
        <f>IF(D23="","",(D23+E23)+(D23+E23)*IF(UPPER(C23)="SIMPLES",0,0.2+$B$2+$D$2)+(D23+E23)*0.08+((D23+E23)/12+(D23+E23)*4/3/12)+((D23+E23)/12+(D23+E23)*4/3/12)*IF(UPPER(C23)="SIMPLES",0,0.2+$B$2+$D$2)+((D23+E23)/12+(D23+E23)*4/3/12)*0.08+0.4*0.08*((D23+E23)+((D23+E23)/12+(D23+E23)*4/3/12))+(F23-MIN(F23,0.06*D23))+(G23-G23*H23)+I23)</f>
        <v/>
      </c>
    </row>
    <row r="24">
      <c r="A24" s="12" t="n"/>
      <c r="B24" s="12" t="n"/>
      <c r="C24" s="12" t="n"/>
      <c r="D24" s="13" t="n"/>
      <c r="E24" s="13" t="n"/>
      <c r="F24" s="13" t="n"/>
      <c r="G24" s="13" t="n"/>
      <c r="H24" s="16" t="n"/>
      <c r="I24" s="13" t="n"/>
      <c r="J24" s="17">
        <f>IF(D24="","",(D24+E24)+(D24+E24)*IF(UPPER(C24)="SIMPLES",0,0.2+$B$2+$D$2)+(D24+E24)*0.08+((D24+E24)/12+(D24+E24)*4/3/12)+((D24+E24)/12+(D24+E24)*4/3/12)*IF(UPPER(C24)="SIMPLES",0,0.2+$B$2+$D$2)+((D24+E24)/12+(D24+E24)*4/3/12)*0.08+0.4*0.08*((D24+E24)+((D24+E24)/12+(D24+E24)*4/3/12))+(F24-MIN(F24,0.06*D24))+(G24-G24*H24)+I24)</f>
        <v/>
      </c>
    </row>
    <row r="25">
      <c r="A25" s="12" t="n"/>
      <c r="B25" s="12" t="n"/>
      <c r="C25" s="12" t="n"/>
      <c r="D25" s="13" t="n"/>
      <c r="E25" s="13" t="n"/>
      <c r="F25" s="13" t="n"/>
      <c r="G25" s="13" t="n"/>
      <c r="H25" s="16" t="n"/>
      <c r="I25" s="13" t="n"/>
      <c r="J25" s="17">
        <f>IF(D25="","",(D25+E25)+(D25+E25)*IF(UPPER(C25)="SIMPLES",0,0.2+$B$2+$D$2)+(D25+E25)*0.08+((D25+E25)/12+(D25+E25)*4/3/12)+((D25+E25)/12+(D25+E25)*4/3/12)*IF(UPPER(C25)="SIMPLES",0,0.2+$B$2+$D$2)+((D25+E25)/12+(D25+E25)*4/3/12)*0.08+0.4*0.08*((D25+E25)+((D25+E25)/12+(D25+E25)*4/3/12))+(F25-MIN(F25,0.06*D25))+(G25-G25*H25)+I25)</f>
        <v/>
      </c>
    </row>
    <row r="26">
      <c r="A26" s="12" t="n"/>
      <c r="B26" s="12" t="n"/>
      <c r="C26" s="12" t="n"/>
      <c r="D26" s="13" t="n"/>
      <c r="E26" s="13" t="n"/>
      <c r="F26" s="13" t="n"/>
      <c r="G26" s="13" t="n"/>
      <c r="H26" s="16" t="n"/>
      <c r="I26" s="13" t="n"/>
      <c r="J26" s="17">
        <f>IF(D26="","",(D26+E26)+(D26+E26)*IF(UPPER(C26)="SIMPLES",0,0.2+$B$2+$D$2)+(D26+E26)*0.08+((D26+E26)/12+(D26+E26)*4/3/12)+((D26+E26)/12+(D26+E26)*4/3/12)*IF(UPPER(C26)="SIMPLES",0,0.2+$B$2+$D$2)+((D26+E26)/12+(D26+E26)*4/3/12)*0.08+0.4*0.08*((D26+E26)+((D26+E26)/12+(D26+E26)*4/3/12))+(F26-MIN(F26,0.06*D26))+(G26-G26*H26)+I26)</f>
        <v/>
      </c>
    </row>
    <row r="27">
      <c r="A27" s="12" t="n"/>
      <c r="B27" s="12" t="n"/>
      <c r="C27" s="12" t="n"/>
      <c r="D27" s="13" t="n"/>
      <c r="E27" s="13" t="n"/>
      <c r="F27" s="13" t="n"/>
      <c r="G27" s="13" t="n"/>
      <c r="H27" s="16" t="n"/>
      <c r="I27" s="13" t="n"/>
      <c r="J27" s="17">
        <f>IF(D27="","",(D27+E27)+(D27+E27)*IF(UPPER(C27)="SIMPLES",0,0.2+$B$2+$D$2)+(D27+E27)*0.08+((D27+E27)/12+(D27+E27)*4/3/12)+((D27+E27)/12+(D27+E27)*4/3/12)*IF(UPPER(C27)="SIMPLES",0,0.2+$B$2+$D$2)+((D27+E27)/12+(D27+E27)*4/3/12)*0.08+0.4*0.08*((D27+E27)+((D27+E27)/12+(D27+E27)*4/3/12))+(F27-MIN(F27,0.06*D27))+(G27-G27*H27)+I27)</f>
        <v/>
      </c>
    </row>
    <row r="28">
      <c r="A28" s="12" t="n"/>
      <c r="B28" s="12" t="n"/>
      <c r="C28" s="12" t="n"/>
      <c r="D28" s="13" t="n"/>
      <c r="E28" s="13" t="n"/>
      <c r="F28" s="13" t="n"/>
      <c r="G28" s="13" t="n"/>
      <c r="H28" s="16" t="n"/>
      <c r="I28" s="13" t="n"/>
      <c r="J28" s="17">
        <f>IF(D28="","",(D28+E28)+(D28+E28)*IF(UPPER(C28)="SIMPLES",0,0.2+$B$2+$D$2)+(D28+E28)*0.08+((D28+E28)/12+(D28+E28)*4/3/12)+((D28+E28)/12+(D28+E28)*4/3/12)*IF(UPPER(C28)="SIMPLES",0,0.2+$B$2+$D$2)+((D28+E28)/12+(D28+E28)*4/3/12)*0.08+0.4*0.08*((D28+E28)+((D28+E28)/12+(D28+E28)*4/3/12))+(F28-MIN(F28,0.06*D28))+(G28-G28*H28)+I28)</f>
        <v/>
      </c>
    </row>
    <row r="29">
      <c r="A29" s="12" t="n"/>
      <c r="B29" s="12" t="n"/>
      <c r="C29" s="12" t="n"/>
      <c r="D29" s="13" t="n"/>
      <c r="E29" s="13" t="n"/>
      <c r="F29" s="13" t="n"/>
      <c r="G29" s="13" t="n"/>
      <c r="H29" s="16" t="n"/>
      <c r="I29" s="13" t="n"/>
      <c r="J29" s="17">
        <f>IF(D29="","",(D29+E29)+(D29+E29)*IF(UPPER(C29)="SIMPLES",0,0.2+$B$2+$D$2)+(D29+E29)*0.08+((D29+E29)/12+(D29+E29)*4/3/12)+((D29+E29)/12+(D29+E29)*4/3/12)*IF(UPPER(C29)="SIMPLES",0,0.2+$B$2+$D$2)+((D29+E29)/12+(D29+E29)*4/3/12)*0.08+0.4*0.08*((D29+E29)+((D29+E29)/12+(D29+E29)*4/3/12))+(F29-MIN(F29,0.06*D29))+(G29-G29*H29)+I29)</f>
        <v/>
      </c>
    </row>
    <row r="30">
      <c r="A30" s="12" t="n"/>
      <c r="B30" s="12" t="n"/>
      <c r="C30" s="12" t="n"/>
      <c r="D30" s="13" t="n"/>
      <c r="E30" s="13" t="n"/>
      <c r="F30" s="13" t="n"/>
      <c r="G30" s="13" t="n"/>
      <c r="H30" s="16" t="n"/>
      <c r="I30" s="13" t="n"/>
      <c r="J30" s="17">
        <f>IF(D30="","",(D30+E30)+(D30+E30)*IF(UPPER(C30)="SIMPLES",0,0.2+$B$2+$D$2)+(D30+E30)*0.08+((D30+E30)/12+(D30+E30)*4/3/12)+((D30+E30)/12+(D30+E30)*4/3/12)*IF(UPPER(C30)="SIMPLES",0,0.2+$B$2+$D$2)+((D30+E30)/12+(D30+E30)*4/3/12)*0.08+0.4*0.08*((D30+E30)+((D30+E30)/12+(D30+E30)*4/3/12))+(F30-MIN(F30,0.06*D30))+(G30-G30*H30)+I30)</f>
        <v/>
      </c>
    </row>
    <row r="31">
      <c r="A31" s="12" t="n"/>
      <c r="B31" s="12" t="n"/>
      <c r="C31" s="12" t="n"/>
      <c r="D31" s="13" t="n"/>
      <c r="E31" s="13" t="n"/>
      <c r="F31" s="13" t="n"/>
      <c r="G31" s="13" t="n"/>
      <c r="H31" s="16" t="n"/>
      <c r="I31" s="13" t="n"/>
      <c r="J31" s="17">
        <f>IF(D31="","",(D31+E31)+(D31+E31)*IF(UPPER(C31)="SIMPLES",0,0.2+$B$2+$D$2)+(D31+E31)*0.08+((D31+E31)/12+(D31+E31)*4/3/12)+((D31+E31)/12+(D31+E31)*4/3/12)*IF(UPPER(C31)="SIMPLES",0,0.2+$B$2+$D$2)+((D31+E31)/12+(D31+E31)*4/3/12)*0.08+0.4*0.08*((D31+E31)+((D31+E31)/12+(D31+E31)*4/3/12))+(F31-MIN(F31,0.06*D31))+(G31-G31*H31)+I31)</f>
        <v/>
      </c>
    </row>
    <row r="32">
      <c r="A32" s="12" t="n"/>
      <c r="B32" s="12" t="n"/>
      <c r="C32" s="12" t="n"/>
      <c r="D32" s="13" t="n"/>
      <c r="E32" s="13" t="n"/>
      <c r="F32" s="13" t="n"/>
      <c r="G32" s="13" t="n"/>
      <c r="H32" s="16" t="n"/>
      <c r="I32" s="13" t="n"/>
      <c r="J32" s="17">
        <f>IF(D32="","",(D32+E32)+(D32+E32)*IF(UPPER(C32)="SIMPLES",0,0.2+$B$2+$D$2)+(D32+E32)*0.08+((D32+E32)/12+(D32+E32)*4/3/12)+((D32+E32)/12+(D32+E32)*4/3/12)*IF(UPPER(C32)="SIMPLES",0,0.2+$B$2+$D$2)+((D32+E32)/12+(D32+E32)*4/3/12)*0.08+0.4*0.08*((D32+E32)+((D32+E32)/12+(D32+E32)*4/3/12))+(F32-MIN(F32,0.06*D32))+(G32-G32*H32)+I32)</f>
        <v/>
      </c>
    </row>
    <row r="33">
      <c r="A33" s="12" t="n"/>
      <c r="B33" s="12" t="n"/>
      <c r="C33" s="12" t="n"/>
      <c r="D33" s="13" t="n"/>
      <c r="E33" s="13" t="n"/>
      <c r="F33" s="13" t="n"/>
      <c r="G33" s="13" t="n"/>
      <c r="H33" s="16" t="n"/>
      <c r="I33" s="13" t="n"/>
      <c r="J33" s="17">
        <f>IF(D33="","",(D33+E33)+(D33+E33)*IF(UPPER(C33)="SIMPLES",0,0.2+$B$2+$D$2)+(D33+E33)*0.08+((D33+E33)/12+(D33+E33)*4/3/12)+((D33+E33)/12+(D33+E33)*4/3/12)*IF(UPPER(C33)="SIMPLES",0,0.2+$B$2+$D$2)+((D33+E33)/12+(D33+E33)*4/3/12)*0.08+0.4*0.08*((D33+E33)+((D33+E33)/12+(D33+E33)*4/3/12))+(F33-MIN(F33,0.06*D33))+(G33-G33*H33)+I33)</f>
        <v/>
      </c>
    </row>
    <row r="34">
      <c r="A34" s="12" t="n"/>
      <c r="B34" s="12" t="n"/>
      <c r="C34" s="12" t="n"/>
      <c r="D34" s="13" t="n"/>
      <c r="E34" s="13" t="n"/>
      <c r="F34" s="13" t="n"/>
      <c r="G34" s="13" t="n"/>
      <c r="H34" s="16" t="n"/>
      <c r="I34" s="13" t="n"/>
      <c r="J34" s="17">
        <f>IF(D34="","",(D34+E34)+(D34+E34)*IF(UPPER(C34)="SIMPLES",0,0.2+$B$2+$D$2)+(D34+E34)*0.08+((D34+E34)/12+(D34+E34)*4/3/12)+((D34+E34)/12+(D34+E34)*4/3/12)*IF(UPPER(C34)="SIMPLES",0,0.2+$B$2+$D$2)+((D34+E34)/12+(D34+E34)*4/3/12)*0.08+0.4*0.08*((D34+E34)+((D34+E34)/12+(D34+E34)*4/3/12))+(F34-MIN(F34,0.06*D34))+(G34-G34*H34)+I34)</f>
        <v/>
      </c>
    </row>
    <row r="35">
      <c r="C35" s="10" t="inlineStr">
        <is>
          <t>TOTAL</t>
        </is>
      </c>
      <c r="D35" s="18">
        <f>COUNT(D5:D34)</f>
        <v/>
      </c>
      <c r="I35" s="19" t="inlineStr">
        <is>
          <t>Funcionários:</t>
        </is>
      </c>
      <c r="J35" s="20">
        <f>SUM(J5:J34)</f>
        <v/>
      </c>
    </row>
  </sheetData>
  <mergeCells count="1">
    <mergeCell ref="A1:J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7" customWidth="1" min="3" max="3"/>
    <col width="16" customWidth="1" min="4" max="4"/>
  </cols>
  <sheetData>
    <row r="1">
      <c r="A1" s="5" t="inlineStr">
        <is>
          <t>RESUMO POR CARGO</t>
        </is>
      </c>
    </row>
    <row r="3" ht="26" customHeight="1">
      <c r="A3" s="11" t="inlineStr">
        <is>
          <t>Cargo</t>
        </is>
      </c>
      <c r="B3" s="11" t="inlineStr">
        <is>
          <t>Funcionários</t>
        </is>
      </c>
      <c r="C3" s="11" t="inlineStr">
        <is>
          <t>Custo total/mês</t>
        </is>
      </c>
      <c r="D3" s="11" t="inlineStr">
        <is>
          <t>Custo médio</t>
        </is>
      </c>
    </row>
    <row r="4">
      <c r="A4" s="12" t="inlineStr">
        <is>
          <t>Vendedor</t>
        </is>
      </c>
      <c r="B4" s="21">
        <f>IF(A4="","",COUNTIF('Funcionários'!$A$5:$A$34,A4))</f>
        <v/>
      </c>
      <c r="C4" s="13">
        <f>IF(A4="","",SUMIF('Funcionários'!$A$5:$A$34,A4,'Funcionários'!$J$5:$J$34))</f>
        <v/>
      </c>
      <c r="D4" s="13">
        <f>IF(OR(A4="",B4=0),"",C4/B4)</f>
        <v/>
      </c>
    </row>
    <row r="5">
      <c r="A5" s="12" t="inlineStr">
        <is>
          <t>Gerente</t>
        </is>
      </c>
      <c r="B5" s="21">
        <f>IF(A5="","",COUNTIF('Funcionários'!$A$5:$A$34,A5))</f>
        <v/>
      </c>
      <c r="C5" s="13">
        <f>IF(A5="","",SUMIF('Funcionários'!$A$5:$A$34,A5,'Funcionários'!$J$5:$J$34))</f>
        <v/>
      </c>
      <c r="D5" s="13">
        <f>IF(OR(A5="",B5=0),"",C5/B5)</f>
        <v/>
      </c>
    </row>
    <row r="6">
      <c r="A6" s="12" t="n"/>
      <c r="B6" s="21">
        <f>IF(A6="","",COUNTIF('Funcionários'!$A$5:$A$34,A6))</f>
        <v/>
      </c>
      <c r="C6" s="13">
        <f>IF(A6="","",SUMIF('Funcionários'!$A$5:$A$34,A6,'Funcionários'!$J$5:$J$34))</f>
        <v/>
      </c>
      <c r="D6" s="13">
        <f>IF(OR(A6="",B6=0),"",C6/B6)</f>
        <v/>
      </c>
    </row>
    <row r="7">
      <c r="A7" s="12" t="n"/>
      <c r="B7" s="21">
        <f>IF(A7="","",COUNTIF('Funcionários'!$A$5:$A$34,A7))</f>
        <v/>
      </c>
      <c r="C7" s="13">
        <f>IF(A7="","",SUMIF('Funcionários'!$A$5:$A$34,A7,'Funcionários'!$J$5:$J$34))</f>
        <v/>
      </c>
      <c r="D7" s="13">
        <f>IF(OR(A7="",B7=0),"",C7/B7)</f>
        <v/>
      </c>
    </row>
    <row r="8">
      <c r="A8" s="12" t="n"/>
      <c r="B8" s="21">
        <f>IF(A8="","",COUNTIF('Funcionários'!$A$5:$A$34,A8))</f>
        <v/>
      </c>
      <c r="C8" s="13">
        <f>IF(A8="","",SUMIF('Funcionários'!$A$5:$A$34,A8,'Funcionários'!$J$5:$J$34))</f>
        <v/>
      </c>
      <c r="D8" s="13">
        <f>IF(OR(A8="",B8=0),"",C8/B8)</f>
        <v/>
      </c>
    </row>
    <row r="9">
      <c r="A9" s="12" t="n"/>
      <c r="B9" s="21">
        <f>IF(A9="","",COUNTIF('Funcionários'!$A$5:$A$34,A9))</f>
        <v/>
      </c>
      <c r="C9" s="13">
        <f>IF(A9="","",SUMIF('Funcionários'!$A$5:$A$34,A9,'Funcionários'!$J$5:$J$34))</f>
        <v/>
      </c>
      <c r="D9" s="13">
        <f>IF(OR(A9="",B9=0),"",C9/B9)</f>
        <v/>
      </c>
    </row>
    <row r="10">
      <c r="A10" s="12" t="n"/>
      <c r="B10" s="21">
        <f>IF(A10="","",COUNTIF('Funcionários'!$A$5:$A$34,A10))</f>
        <v/>
      </c>
      <c r="C10" s="13">
        <f>IF(A10="","",SUMIF('Funcionários'!$A$5:$A$34,A10,'Funcionários'!$J$5:$J$34))</f>
        <v/>
      </c>
      <c r="D10" s="13">
        <f>IF(OR(A10="",B10=0),"",C10/B10)</f>
        <v/>
      </c>
    </row>
    <row r="11">
      <c r="A11" s="12" t="n"/>
      <c r="B11" s="21">
        <f>IF(A11="","",COUNTIF('Funcionários'!$A$5:$A$34,A11))</f>
        <v/>
      </c>
      <c r="C11" s="13">
        <f>IF(A11="","",SUMIF('Funcionários'!$A$5:$A$34,A11,'Funcionários'!$J$5:$J$34))</f>
        <v/>
      </c>
      <c r="D11" s="13">
        <f>IF(OR(A11="",B11=0),"",C11/B11)</f>
        <v/>
      </c>
    </row>
    <row r="12">
      <c r="A12" s="12" t="n"/>
      <c r="B12" s="21">
        <f>IF(A12="","",COUNTIF('Funcionários'!$A$5:$A$34,A12))</f>
        <v/>
      </c>
      <c r="C12" s="13">
        <f>IF(A12="","",SUMIF('Funcionários'!$A$5:$A$34,A12,'Funcionários'!$J$5:$J$34))</f>
        <v/>
      </c>
      <c r="D12" s="13">
        <f>IF(OR(A12="",B12=0),"",C12/B12)</f>
        <v/>
      </c>
    </row>
    <row r="13">
      <c r="A13" s="12" t="n"/>
      <c r="B13" s="21">
        <f>IF(A13="","",COUNTIF('Funcionários'!$A$5:$A$34,A13))</f>
        <v/>
      </c>
      <c r="C13" s="13">
        <f>IF(A13="","",SUMIF('Funcionários'!$A$5:$A$34,A13,'Funcionários'!$J$5:$J$34))</f>
        <v/>
      </c>
      <c r="D13" s="13">
        <f>IF(OR(A13="",B13=0),"",C13/B13)</f>
        <v/>
      </c>
    </row>
    <row r="14">
      <c r="A14" s="12" t="n"/>
      <c r="B14" s="21">
        <f>IF(A14="","",COUNTIF('Funcionários'!$A$5:$A$34,A14))</f>
        <v/>
      </c>
      <c r="C14" s="13">
        <f>IF(A14="","",SUMIF('Funcionários'!$A$5:$A$34,A14,'Funcionários'!$J$5:$J$34))</f>
        <v/>
      </c>
      <c r="D14" s="13">
        <f>IF(OR(A14="",B14=0),"",C14/B14)</f>
        <v/>
      </c>
    </row>
    <row r="15">
      <c r="A15" s="12" t="n"/>
      <c r="B15" s="21">
        <f>IF(A15="","",COUNTIF('Funcionários'!$A$5:$A$34,A15))</f>
        <v/>
      </c>
      <c r="C15" s="13">
        <f>IF(A15="","",SUMIF('Funcionários'!$A$5:$A$34,A15,'Funcionários'!$J$5:$J$34))</f>
        <v/>
      </c>
      <c r="D15" s="13">
        <f>IF(OR(A15="",B15=0),"",C15/B15)</f>
        <v/>
      </c>
    </row>
    <row r="16">
      <c r="A16" s="22" t="inlineStr">
        <is>
          <t>TOTAL GERAL</t>
        </is>
      </c>
      <c r="B16" s="18">
        <f>SUM(B4:B15)</f>
        <v/>
      </c>
      <c r="C16" s="20">
        <f>SUM(C4:C15)</f>
        <v/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2026-06-29T16:05:45Z</dcterms:created>
  <dcterms:modified xmlns:dcterms="http://purl.org/dc/terms/" xmlns:xsi="http://www.w3.org/2001/XMLSchema-instance" xsi:type="dcterms:W3CDTF">2026-06-29T16:05:45Z</dcterms:modified>
</cp:coreProperties>
</file>